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93" yWindow="525" windowWidth="19005" windowHeight="10185"/>
  </bookViews>
  <sheets>
    <sheet name="Лист1" sheetId="1" r:id="rId1"/>
  </sheets>
  <calcPr calcId="125725"/>
</workbook>
</file>

<file path=xl/calcChain.xml><?xml version="1.0" encoding="utf-8"?>
<calcChain xmlns="http://schemas.openxmlformats.org/spreadsheetml/2006/main">
  <c r="BE3" i="1"/>
  <c r="BE175"/>
  <c r="BE174"/>
  <c r="BE173"/>
  <c r="BE172"/>
  <c r="BE171"/>
  <c r="BE170"/>
  <c r="BE169"/>
  <c r="BE168"/>
  <c r="BE167"/>
  <c r="BE166"/>
  <c r="BE165"/>
  <c r="BE164"/>
  <c r="BE163"/>
  <c r="BE162"/>
  <c r="BE161"/>
  <c r="BE160"/>
  <c r="BE159"/>
  <c r="BE158"/>
  <c r="BE157"/>
  <c r="BE156"/>
  <c r="BE155"/>
  <c r="BE154"/>
  <c r="BE153"/>
  <c r="BE152"/>
  <c r="BE151"/>
  <c r="BE150"/>
  <c r="BE149"/>
  <c r="BE148"/>
  <c r="BE147"/>
  <c r="BE146"/>
  <c r="BE145"/>
  <c r="BE144"/>
  <c r="BE143"/>
  <c r="BE142"/>
  <c r="BE141"/>
  <c r="BE140"/>
  <c r="BE139"/>
  <c r="BE138"/>
  <c r="BE137"/>
  <c r="BE136"/>
  <c r="BE135"/>
  <c r="BE134"/>
  <c r="BE133"/>
  <c r="BE132"/>
  <c r="BE131"/>
  <c r="BE130"/>
  <c r="BE129"/>
  <c r="BE128"/>
  <c r="BE127"/>
  <c r="BE126"/>
  <c r="BE125"/>
  <c r="BE124"/>
  <c r="BE123"/>
  <c r="BE122"/>
  <c r="BE121"/>
  <c r="BE120"/>
  <c r="BE119"/>
  <c r="BE118"/>
  <c r="BE117"/>
  <c r="BE116"/>
  <c r="BE115"/>
  <c r="BE114"/>
  <c r="BE113"/>
  <c r="BE112"/>
  <c r="BE111"/>
  <c r="BE110"/>
  <c r="BE109"/>
  <c r="BE108"/>
  <c r="BE107"/>
  <c r="BE106"/>
  <c r="BE105"/>
  <c r="BE104"/>
  <c r="BE103"/>
  <c r="BE102"/>
  <c r="BE101"/>
  <c r="BE100"/>
  <c r="BE99"/>
  <c r="BE98"/>
  <c r="BE97"/>
  <c r="BE96"/>
  <c r="BE95"/>
  <c r="BE94"/>
  <c r="BE93"/>
  <c r="BE92"/>
  <c r="BE91"/>
  <c r="BE90"/>
  <c r="BE89"/>
  <c r="BE88"/>
  <c r="BE87"/>
  <c r="BE86"/>
  <c r="BE85"/>
  <c r="BE84"/>
  <c r="BE83"/>
  <c r="BE82"/>
  <c r="BE81"/>
  <c r="BE80"/>
  <c r="BE79"/>
  <c r="BE78"/>
  <c r="BE77"/>
  <c r="BE76"/>
  <c r="BE75"/>
  <c r="BE74"/>
  <c r="BE73"/>
  <c r="BE72"/>
  <c r="BE71"/>
  <c r="BE70"/>
  <c r="BE69"/>
  <c r="BE68"/>
  <c r="BE67"/>
  <c r="BE66"/>
  <c r="BE65"/>
  <c r="BE64"/>
  <c r="BE63"/>
  <c r="BE62"/>
  <c r="BE61"/>
  <c r="BE60"/>
  <c r="BE59"/>
  <c r="BE58"/>
  <c r="BE57"/>
  <c r="BE56"/>
  <c r="BE55"/>
  <c r="BE54"/>
  <c r="BE53"/>
  <c r="BE52"/>
  <c r="BE51"/>
  <c r="BE50"/>
  <c r="BE49"/>
  <c r="BE48"/>
  <c r="BE47"/>
  <c r="BE46"/>
  <c r="BE45"/>
  <c r="BE44"/>
  <c r="BE43"/>
  <c r="BE42"/>
  <c r="BE41"/>
  <c r="BE40"/>
  <c r="BE39"/>
  <c r="BE38"/>
  <c r="BE37"/>
  <c r="BE36"/>
  <c r="BE35"/>
  <c r="BE34"/>
  <c r="BE33"/>
  <c r="BE32"/>
  <c r="BE31"/>
  <c r="BE30"/>
  <c r="BE29"/>
  <c r="BE28"/>
  <c r="BE27"/>
  <c r="BE26"/>
  <c r="BE25"/>
  <c r="BE24"/>
  <c r="BE23"/>
  <c r="BE22"/>
  <c r="BE21"/>
  <c r="BE20"/>
  <c r="BE19"/>
  <c r="BE18"/>
  <c r="BE17"/>
  <c r="BE16"/>
  <c r="BE15"/>
  <c r="BE14"/>
  <c r="BE13"/>
  <c r="BE12"/>
  <c r="BE11"/>
  <c r="BE10"/>
  <c r="BE9"/>
  <c r="BE8"/>
  <c r="BE7"/>
  <c r="BE6"/>
  <c r="BE5"/>
  <c r="BE4"/>
  <c r="BE2"/>
</calcChain>
</file>

<file path=xl/sharedStrings.xml><?xml version="1.0" encoding="utf-8"?>
<sst xmlns="http://schemas.openxmlformats.org/spreadsheetml/2006/main" count="231" uniqueCount="227">
  <si>
    <t>Цемент белый ПЦ500</t>
  </si>
  <si>
    <t>Известняк фр.2.0-3.0мм</t>
  </si>
  <si>
    <t xml:space="preserve">Терразит  К62А </t>
  </si>
  <si>
    <t>Терразит  К62Б</t>
  </si>
  <si>
    <t xml:space="preserve">Терразит МШ1 </t>
  </si>
  <si>
    <t>Терразит МШ4</t>
  </si>
  <si>
    <t>Шовный МШ1</t>
  </si>
  <si>
    <t>Терразит МСК1</t>
  </si>
  <si>
    <t>Терразит МСК4</t>
  </si>
  <si>
    <t>Терразит ЕЛЗ-201</t>
  </si>
  <si>
    <t>Терразит БЛ27Н</t>
  </si>
  <si>
    <t xml:space="preserve">Терразит МСК3 </t>
  </si>
  <si>
    <t>Терразит МША1</t>
  </si>
  <si>
    <t xml:space="preserve">Шовный МША2 </t>
  </si>
  <si>
    <t xml:space="preserve">Терразит ФР1 </t>
  </si>
  <si>
    <t>Терразит МСК5</t>
  </si>
  <si>
    <t>Шовный МШ4</t>
  </si>
  <si>
    <t xml:space="preserve">Терразит Л61К </t>
  </si>
  <si>
    <t>Шовный МСК5</t>
  </si>
  <si>
    <t xml:space="preserve">Терразит  ВБ </t>
  </si>
  <si>
    <t xml:space="preserve">Терразит М5 </t>
  </si>
  <si>
    <t>Терразит НРК-Ф2</t>
  </si>
  <si>
    <t>Шовный МП17</t>
  </si>
  <si>
    <t>Терразит ИЗВ</t>
  </si>
  <si>
    <t xml:space="preserve">Терразит  ВБ1 </t>
  </si>
  <si>
    <t xml:space="preserve">Терразит ВБ2 </t>
  </si>
  <si>
    <t>Терразит НРК-Ф1</t>
  </si>
  <si>
    <t>Терразит НРКБ</t>
  </si>
  <si>
    <t>Терразит  КК1</t>
  </si>
  <si>
    <t>Терразит  КК2</t>
  </si>
  <si>
    <t>Терразит  КК3</t>
  </si>
  <si>
    <t>Терразит  КБ2</t>
  </si>
  <si>
    <t>Терразит  КБ5</t>
  </si>
  <si>
    <t>Терразит ТВР3</t>
  </si>
  <si>
    <t>Терразит ТВР5</t>
  </si>
  <si>
    <t xml:space="preserve">Терразит  МОХ5 </t>
  </si>
  <si>
    <t xml:space="preserve">Терразит  МОХ6 </t>
  </si>
  <si>
    <t>Терразит  М25</t>
  </si>
  <si>
    <t>Терразит ГЖ 21</t>
  </si>
  <si>
    <t>Терразит САВ45</t>
  </si>
  <si>
    <t>Терразит САВ46</t>
  </si>
  <si>
    <t>Терразит М6</t>
  </si>
  <si>
    <t xml:space="preserve">Терразит ШБМШ1 </t>
  </si>
  <si>
    <t>Терразит ШБМШ2</t>
  </si>
  <si>
    <t>Терразит Л611</t>
  </si>
  <si>
    <t>Терразит Л612</t>
  </si>
  <si>
    <t>Терразит Л 616</t>
  </si>
  <si>
    <t>Терразит Л61Ф</t>
  </si>
  <si>
    <t>Шовный ГР104</t>
  </si>
  <si>
    <t>Шовный ОСК17</t>
  </si>
  <si>
    <t>Шовный МСК3</t>
  </si>
  <si>
    <t>Шовный 2</t>
  </si>
  <si>
    <t xml:space="preserve">Шовный НРК1 </t>
  </si>
  <si>
    <t xml:space="preserve">Шовный НРК2 </t>
  </si>
  <si>
    <t xml:space="preserve">Терразит Л 615 </t>
  </si>
  <si>
    <t>Терразит МШ1Н</t>
  </si>
  <si>
    <t>Терразит МШ1К</t>
  </si>
  <si>
    <t>Терразит МШПР3</t>
  </si>
  <si>
    <t>Терразит МСК5Н</t>
  </si>
  <si>
    <t>Терразит МСКД2</t>
  </si>
  <si>
    <t>Терразит БЛ27Н2</t>
  </si>
  <si>
    <t>Терразит Л61КБ</t>
  </si>
  <si>
    <t>Терразит ТВР45</t>
  </si>
  <si>
    <t>Терразит  Л2</t>
  </si>
  <si>
    <t>Терразит ИТ27</t>
  </si>
  <si>
    <t>Терразит КР73Н</t>
  </si>
  <si>
    <t xml:space="preserve">Терразит РК-2 </t>
  </si>
  <si>
    <t>Терразит  ОБ52</t>
  </si>
  <si>
    <t>Терразит  ОБ52Ф2</t>
  </si>
  <si>
    <t>Терразит  ОБ52И</t>
  </si>
  <si>
    <t>Терразит ОБЦ52Ц</t>
  </si>
  <si>
    <t>Терразит ПП4</t>
  </si>
  <si>
    <t>Терразит НН72</t>
  </si>
  <si>
    <t>Терразит Сев14</t>
  </si>
  <si>
    <t>Терразит Сев143М</t>
  </si>
  <si>
    <t>Терразит Сев14Ц</t>
  </si>
  <si>
    <t>Терразит БП26</t>
  </si>
  <si>
    <t>Терразит ЗЛ</t>
  </si>
  <si>
    <t>Терразит Лен11П</t>
  </si>
  <si>
    <t>Терразит ЛЕН11Б</t>
  </si>
  <si>
    <t>Терразит ОРЖ3С</t>
  </si>
  <si>
    <t xml:space="preserve">Терразит ОРЖ1 </t>
  </si>
  <si>
    <t xml:space="preserve">Терразит БЖ162 </t>
  </si>
  <si>
    <t>Терразит Т111</t>
  </si>
  <si>
    <t>Терразит  ЗВ1</t>
  </si>
  <si>
    <t>Терразит  БР3</t>
  </si>
  <si>
    <t xml:space="preserve">Терразит ПЗ4 </t>
  </si>
  <si>
    <t>Терразит ЛФ1</t>
  </si>
  <si>
    <t>Терразит КР61</t>
  </si>
  <si>
    <t>Терразит  РЗ2</t>
  </si>
  <si>
    <t>Терразит МО84</t>
  </si>
  <si>
    <t>Терразит 5С</t>
  </si>
  <si>
    <t xml:space="preserve">Терразит Л18 </t>
  </si>
  <si>
    <t>Терразит К21</t>
  </si>
  <si>
    <t>Терразит К20</t>
  </si>
  <si>
    <t>Терразит  КР4</t>
  </si>
  <si>
    <t xml:space="preserve">Терразит  Л2Ш </t>
  </si>
  <si>
    <t>Терразит ПШ2</t>
  </si>
  <si>
    <t>Терразит ПШ21</t>
  </si>
  <si>
    <t>Терразит ПЧШ</t>
  </si>
  <si>
    <t>Терразит ПЧБ2</t>
  </si>
  <si>
    <t>Терразит ПЧП4</t>
  </si>
  <si>
    <t>Шовный МР</t>
  </si>
  <si>
    <t>Терразит ВМФ7</t>
  </si>
  <si>
    <t xml:space="preserve">Терразит Ч1 </t>
  </si>
  <si>
    <t xml:space="preserve">Терразит  Ч2 </t>
  </si>
  <si>
    <t>Терразит  Ч16Б</t>
  </si>
  <si>
    <t>Терразит  Ч25</t>
  </si>
  <si>
    <t>Терразит ДБ13</t>
  </si>
  <si>
    <t>Терразит ВО72</t>
  </si>
  <si>
    <t>Терразит  БАР28</t>
  </si>
  <si>
    <t>Терразит Ш44С</t>
  </si>
  <si>
    <t>Терразит КТ84</t>
  </si>
  <si>
    <t xml:space="preserve">Терразит  Х1 </t>
  </si>
  <si>
    <t>Терразит Х11</t>
  </si>
  <si>
    <t>Терразит Х2</t>
  </si>
  <si>
    <t>Терразит  ЮГ1</t>
  </si>
  <si>
    <t>Шовный  ЮГ2</t>
  </si>
  <si>
    <t>Терразит КМН1</t>
  </si>
  <si>
    <t>Шовный СЕВ12</t>
  </si>
  <si>
    <t>Шовный  БЛ3</t>
  </si>
  <si>
    <t>Шовный 8с68</t>
  </si>
  <si>
    <t>Шовный М2</t>
  </si>
  <si>
    <t>Шовный Ф130Б</t>
  </si>
  <si>
    <t>Шовный С771</t>
  </si>
  <si>
    <t>Шовный НШ5</t>
  </si>
  <si>
    <t>Шовный МСКД2</t>
  </si>
  <si>
    <t>Шовный Г1</t>
  </si>
  <si>
    <t>Шовный КМН13</t>
  </si>
  <si>
    <t>Шовный РТВР45</t>
  </si>
  <si>
    <t>TZ Шовный Н13</t>
  </si>
  <si>
    <t>Шовный Н5</t>
  </si>
  <si>
    <t>Шовный  Т111</t>
  </si>
  <si>
    <t>Шовный НН72</t>
  </si>
  <si>
    <t>Шовный  ЮГ3</t>
  </si>
  <si>
    <t>Шовный ЕЛЗ12</t>
  </si>
  <si>
    <t>Шовный ЕЛЗ22</t>
  </si>
  <si>
    <t>Мастика К3</t>
  </si>
  <si>
    <t>Мастика К1</t>
  </si>
  <si>
    <t>Мастика К5</t>
  </si>
  <si>
    <t>Мастика К6</t>
  </si>
  <si>
    <t>Мастика С2</t>
  </si>
  <si>
    <t>Мастика С3</t>
  </si>
  <si>
    <t>Мастика С5</t>
  </si>
  <si>
    <t>Мастика ТВР1</t>
  </si>
  <si>
    <t>Мастика ТВР2</t>
  </si>
  <si>
    <t>Мастика ТВР3</t>
  </si>
  <si>
    <t>Мастика  ТВР45</t>
  </si>
  <si>
    <t>Мастика Г11</t>
  </si>
  <si>
    <t>Мастика ПЛ1</t>
  </si>
  <si>
    <t>Мастика ЕЛ3</t>
  </si>
  <si>
    <t>Мастика ЕЛ12</t>
  </si>
  <si>
    <t>Терраццо  Ц1М</t>
  </si>
  <si>
    <t>Терраццо  Ц1П</t>
  </si>
  <si>
    <t>Терраццо  Ц2М</t>
  </si>
  <si>
    <t>Терраццо  Ц2П</t>
  </si>
  <si>
    <t>Терраццо  Ц3М</t>
  </si>
  <si>
    <t>Терраццо  Ц3П</t>
  </si>
  <si>
    <t>Терраццо  Ц4М</t>
  </si>
  <si>
    <t xml:space="preserve">Терраццо 1ЧКЧЗ </t>
  </si>
  <si>
    <t>Терраццо 3ККЧБ</t>
  </si>
  <si>
    <t>Терраццо 2ККЧБ</t>
  </si>
  <si>
    <t>Терраццо 4ЖКБ</t>
  </si>
  <si>
    <t>Терраццо 6БСЧБ</t>
  </si>
  <si>
    <t>Терраццо 5КСЧБ</t>
  </si>
  <si>
    <t>Терраццо Г13</t>
  </si>
  <si>
    <t>Ретушь 1</t>
  </si>
  <si>
    <t>Ретушь 8</t>
  </si>
  <si>
    <t>Ретушь 9</t>
  </si>
  <si>
    <t>Ретушь ПЛ31</t>
  </si>
  <si>
    <t>Ретушь БЛ3</t>
  </si>
  <si>
    <t xml:space="preserve">Наименование рецепта/компоненты в кг на 1000 кг </t>
  </si>
  <si>
    <t>Цемент серый ПЦ500, кг</t>
  </si>
  <si>
    <t>Известь гашеная, кг</t>
  </si>
  <si>
    <t>Песок лужский фр.0-0,63мм, кг</t>
  </si>
  <si>
    <t>Песок кварцевый белый фр.0,2-0,63 мм, кг</t>
  </si>
  <si>
    <t>Песок кварцевый белый фр.0,4-1,25 мм, кг</t>
  </si>
  <si>
    <t>Песок  кварцевый белый фр.0,63-1,5 мм, кг</t>
  </si>
  <si>
    <t>Песок карьерный фр.0,63-2,5 мм, кг</t>
  </si>
  <si>
    <t>Песок кварцевый белый фр.1,0-3,0 мм, кг</t>
  </si>
  <si>
    <t>Пескок карьерный фр.2,5-5,0 мм, кг</t>
  </si>
  <si>
    <t>Доломитовая мука, кг</t>
  </si>
  <si>
    <t>Микрокальцит МК100 фр.0,1 мм, кг</t>
  </si>
  <si>
    <t>Пигмент светло красный S110, кг</t>
  </si>
  <si>
    <t>Пигмент красный S130, кг</t>
  </si>
  <si>
    <t>Пигмент желтый S313, кг</t>
  </si>
  <si>
    <t>Пигмент оранжевый S960, кг</t>
  </si>
  <si>
    <t>Пигмент зеленый S5605, кг</t>
  </si>
  <si>
    <t>Пигмент утрамарин синий, кг</t>
  </si>
  <si>
    <t>Пигмент светло коричневый S610, кг</t>
  </si>
  <si>
    <t>Пигмент темно корчневый S686 (S868), кг</t>
  </si>
  <si>
    <t>Пигмент черный S722 (S723), кг</t>
  </si>
  <si>
    <t>Мрамор белый фр.0,2-0,5 мм, кг</t>
  </si>
  <si>
    <t>Мрамор белый фр.0,5-1,0 мм, кг</t>
  </si>
  <si>
    <t>Мрамор белый фр.1,0-1,5 мм, кг</t>
  </si>
  <si>
    <t>Мрамор белый фр.1,5-2,0 мм, кг</t>
  </si>
  <si>
    <t>Мрамор белый фр.2,0-3,0 мм, кг</t>
  </si>
  <si>
    <t>Мрамор белый фр.3,0-5,0 мм, кг</t>
  </si>
  <si>
    <t>Мрамор белый фр.2,0-7,0 мм, кг</t>
  </si>
  <si>
    <t>Мрамор черный фр.1,0-3,0мм, кг</t>
  </si>
  <si>
    <t>Мрамор черный фр.3,0-5,0мм, кг</t>
  </si>
  <si>
    <t>Мрамор серый фр.1,0-3,0мм, кг</t>
  </si>
  <si>
    <t>Мрамор серый фр.2,0-3,0мм, кг</t>
  </si>
  <si>
    <t>Известняк фр.2,0-6,0мм, кг</t>
  </si>
  <si>
    <t>Купершлак (габродиабаз) фр.0.5-2.5 мм, кг</t>
  </si>
  <si>
    <t>Мрамор красный кардинал ред фр.1,0-4,0мм, кг</t>
  </si>
  <si>
    <t>Мрамор красный кардинал ред фр.2,0-3,0 мм, кг</t>
  </si>
  <si>
    <t>Гранитный отсев фр.2,5-5,0мм, кг</t>
  </si>
  <si>
    <t>Златолит фр.1,0-3,0 мм, кг</t>
  </si>
  <si>
    <t>Златолит фр.5,0-10,0 мм, кг</t>
  </si>
  <si>
    <t>Златолит фр.10,0-20,0 мм, кг</t>
  </si>
  <si>
    <t>Фельзит фр.4,0-5,0 мм, кг</t>
  </si>
  <si>
    <t>Мрамор черный (шунгит) фр.5,0-8,0 мм, кг</t>
  </si>
  <si>
    <t>Мрамор черный (шунгит) фр.5,0-20,0 мм, кг</t>
  </si>
  <si>
    <t>Змеевик зеленый фр.5,0-10,0 мм, кг</t>
  </si>
  <si>
    <t xml:space="preserve">Яшма желтая фр. 2,0-5,0 мм, кг </t>
  </si>
  <si>
    <t>Фельзит коричневый фр.5,0-10,0мм, кг</t>
  </si>
  <si>
    <t>Корунд (стекло) фр.1,0-3,0 мм, кг</t>
  </si>
  <si>
    <t>Слюда фр.2,5-5,0мм, кг</t>
  </si>
  <si>
    <t>Пластификатор С-3, (Reamin, РС101, Melflux 5581, Flux3  (терраццо)), кг</t>
  </si>
  <si>
    <t xml:space="preserve"> Метилцеллюлоза  20000-45000 мПа (HPMC C 712, Walocel MKX20000PP20, Culminal 4053, Wekcelo 75(150), Wekcelo 400 (терраццо)), кг</t>
  </si>
  <si>
    <t>РПП Полипласт (Dairen 1400, Vinnapas 4023, Vinavil 5603, WWJF - 8020, ОРП 7085, Elotex) кг</t>
  </si>
  <si>
    <t xml:space="preserve">Крахмал картофельный (эфир крахмала Casucol, Berolan ST801, Amitrolit 8850), кг </t>
  </si>
  <si>
    <t>Порообразователь Ufapore, Esapon (любой кроме альфаолефинсульфоната ), кг</t>
  </si>
  <si>
    <t>Общая сумма компонетов в рецепте, кг</t>
  </si>
  <si>
    <t>Формиат кальция, кг</t>
  </si>
  <si>
    <t xml:space="preserve">Терразит ВБ3 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</si>
</sst>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name val="Arial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 applyAlignment="1">
      <alignment textRotation="90" wrapText="1"/>
    </xf>
    <xf numFmtId="0" fontId="3" fillId="0" borderId="0" xfId="0" applyFont="1" applyAlignment="1">
      <alignment textRotation="90" wrapText="1"/>
    </xf>
    <xf numFmtId="0" fontId="4" fillId="0" borderId="0" xfId="0" applyFont="1" applyAlignment="1"/>
    <xf numFmtId="0" fontId="2" fillId="0" borderId="4" xfId="0" applyFont="1" applyBorder="1" applyAlignment="1">
      <alignment textRotation="90" wrapText="1"/>
    </xf>
    <xf numFmtId="0" fontId="2" fillId="0" borderId="5" xfId="0" applyFont="1" applyBorder="1" applyAlignment="1">
      <alignment textRotation="90" wrapText="1"/>
    </xf>
    <xf numFmtId="0" fontId="3" fillId="0" borderId="6" xfId="0" applyFont="1" applyBorder="1" applyAlignment="1">
      <alignment textRotation="90" wrapText="1"/>
    </xf>
    <xf numFmtId="0" fontId="1" fillId="0" borderId="2" xfId="0" applyFont="1" applyBorder="1"/>
    <xf numFmtId="0" fontId="0" fillId="0" borderId="2" xfId="0" applyFont="1" applyBorder="1" applyAlignment="1"/>
    <xf numFmtId="0" fontId="3" fillId="2" borderId="6" xfId="0" applyFont="1" applyFill="1" applyBorder="1" applyAlignment="1">
      <alignment textRotation="90" wrapText="1"/>
    </xf>
    <xf numFmtId="0" fontId="3" fillId="2" borderId="2" xfId="0" applyFont="1" applyFill="1" applyBorder="1" applyAlignment="1">
      <alignment textRotation="90" wrapText="1"/>
    </xf>
    <xf numFmtId="0" fontId="0" fillId="2" borderId="2" xfId="0" applyFont="1" applyFill="1" applyBorder="1" applyAlignment="1"/>
    <xf numFmtId="0" fontId="0" fillId="2" borderId="0" xfId="0" applyFont="1" applyFill="1" applyAlignment="1"/>
    <xf numFmtId="0" fontId="2" fillId="3" borderId="1" xfId="0" applyFont="1" applyFill="1" applyBorder="1" applyAlignment="1">
      <alignment textRotation="90" wrapText="1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0" xfId="0" applyFont="1" applyFill="1" applyAlignment="1"/>
    <xf numFmtId="0" fontId="1" fillId="4" borderId="1" xfId="0" applyFont="1" applyFill="1" applyBorder="1" applyAlignment="1">
      <alignment textRotation="90" wrapText="1"/>
    </xf>
    <xf numFmtId="0" fontId="2" fillId="4" borderId="1" xfId="0" applyFont="1" applyFill="1" applyBorder="1" applyAlignment="1">
      <alignment textRotation="90" wrapText="1"/>
    </xf>
    <xf numFmtId="0" fontId="1" fillId="4" borderId="1" xfId="0" applyFont="1" applyFill="1" applyBorder="1"/>
    <xf numFmtId="0" fontId="0" fillId="4" borderId="0" xfId="0" applyFont="1" applyFill="1" applyAlignment="1"/>
    <xf numFmtId="0" fontId="0" fillId="0" borderId="0" xfId="0" applyFont="1" applyAlignment="1">
      <alignment wrapText="1" shrinkToFit="1"/>
    </xf>
    <xf numFmtId="0" fontId="2" fillId="0" borderId="1" xfId="0" applyFont="1" applyBorder="1" applyAlignment="1">
      <alignment wrapText="1" shrinkToFit="1"/>
    </xf>
    <xf numFmtId="0" fontId="1" fillId="4" borderId="7" xfId="0" applyFont="1" applyFill="1" applyBorder="1"/>
    <xf numFmtId="0" fontId="4" fillId="0" borderId="2" xfId="0" applyFont="1" applyBorder="1" applyAlignment="1"/>
    <xf numFmtId="0" fontId="1" fillId="4" borderId="4" xfId="0" applyFont="1" applyFill="1" applyBorder="1"/>
    <xf numFmtId="0" fontId="0" fillId="4" borderId="2" xfId="0" applyFont="1" applyFill="1" applyBorder="1" applyAlignment="1"/>
    <xf numFmtId="0" fontId="4" fillId="0" borderId="6" xfId="0" applyFont="1" applyBorder="1" applyAlignment="1"/>
    <xf numFmtId="0" fontId="1" fillId="4" borderId="9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0" fillId="2" borderId="6" xfId="0" applyFont="1" applyFill="1" applyBorder="1" applyAlignment="1"/>
    <xf numFmtId="0" fontId="4" fillId="0" borderId="10" xfId="0" applyFont="1" applyBorder="1" applyAlignment="1"/>
    <xf numFmtId="0" fontId="1" fillId="0" borderId="8" xfId="0" applyFont="1" applyBorder="1"/>
    <xf numFmtId="0" fontId="0" fillId="2" borderId="10" xfId="0" applyFont="1" applyFill="1" applyBorder="1" applyAlignment="1"/>
    <xf numFmtId="0" fontId="4" fillId="5" borderId="2" xfId="0" applyFont="1" applyFill="1" applyBorder="1" applyAlignment="1"/>
    <xf numFmtId="0" fontId="1" fillId="5" borderId="1" xfId="0" applyFont="1" applyFill="1" applyBorder="1"/>
    <xf numFmtId="0" fontId="1" fillId="5" borderId="2" xfId="0" applyFont="1" applyFill="1" applyBorder="1"/>
    <xf numFmtId="0" fontId="0" fillId="5" borderId="2" xfId="0" applyFont="1" applyFill="1" applyBorder="1" applyAlignment="1"/>
    <xf numFmtId="0" fontId="0" fillId="5" borderId="0" xfId="0" applyFont="1" applyFill="1" applyAlignment="1"/>
    <xf numFmtId="0" fontId="4" fillId="5" borderId="0" xfId="0" applyFont="1" applyFill="1" applyAlignment="1"/>
    <xf numFmtId="0" fontId="0" fillId="0" borderId="0" xfId="0" applyAlignment="1"/>
    <xf numFmtId="0" fontId="4" fillId="6" borderId="2" xfId="0" applyFont="1" applyFill="1" applyBorder="1" applyAlignment="1"/>
    <xf numFmtId="0" fontId="1" fillId="6" borderId="1" xfId="0" applyFont="1" applyFill="1" applyBorder="1"/>
    <xf numFmtId="0" fontId="0" fillId="6" borderId="0" xfId="0" applyFont="1" applyFill="1" applyAlignment="1"/>
    <xf numFmtId="0" fontId="3" fillId="0" borderId="2" xfId="0" applyFont="1" applyBorder="1" applyAlignment="1">
      <alignment textRotation="90" wrapText="1"/>
    </xf>
    <xf numFmtId="0" fontId="3" fillId="0" borderId="0" xfId="0" applyFont="1" applyBorder="1" applyAlignment="1">
      <alignment textRotation="90" wrapText="1"/>
    </xf>
    <xf numFmtId="0" fontId="4" fillId="5" borderId="6" xfId="0" applyFont="1" applyFill="1" applyBorder="1" applyAlignment="1"/>
    <xf numFmtId="0" fontId="0" fillId="4" borderId="6" xfId="0" applyFont="1" applyFill="1" applyBorder="1" applyAlignment="1"/>
    <xf numFmtId="0" fontId="1" fillId="5" borderId="4" xfId="0" applyFont="1" applyFill="1" applyBorder="1"/>
    <xf numFmtId="0" fontId="2" fillId="3" borderId="4" xfId="0" applyFont="1" applyFill="1" applyBorder="1"/>
    <xf numFmtId="0" fontId="4" fillId="5" borderId="10" xfId="0" applyFont="1" applyFill="1" applyBorder="1" applyAlignment="1"/>
    <xf numFmtId="0" fontId="0" fillId="4" borderId="10" xfId="0" applyFont="1" applyFill="1" applyBorder="1" applyAlignment="1"/>
    <xf numFmtId="0" fontId="1" fillId="5" borderId="8" xfId="0" applyFont="1" applyFill="1" applyBorder="1"/>
    <xf numFmtId="0" fontId="2" fillId="3" borderId="8" xfId="0" applyFont="1" applyFill="1" applyBorder="1"/>
    <xf numFmtId="0" fontId="0" fillId="0" borderId="11" xfId="0" applyFont="1" applyBorder="1" applyAlignment="1"/>
    <xf numFmtId="0" fontId="1" fillId="0" borderId="3" xfId="0" applyFont="1" applyBorder="1"/>
    <xf numFmtId="0" fontId="2" fillId="3" borderId="2" xfId="0" applyFont="1" applyFill="1" applyBorder="1"/>
    <xf numFmtId="0" fontId="1" fillId="0" borderId="12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G189"/>
  <sheetViews>
    <sheetView tabSelected="1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F24" sqref="F24"/>
    </sheetView>
  </sheetViews>
  <sheetFormatPr defaultColWidth="12.59765625" defaultRowHeight="15" customHeight="1"/>
  <cols>
    <col min="1" max="1" width="18.86328125" style="22" customWidth="1"/>
    <col min="2" max="3" width="8.1328125" style="21" customWidth="1"/>
    <col min="4" max="4" width="8.6640625" style="21" customWidth="1"/>
    <col min="5" max="5" width="9.1328125" customWidth="1"/>
    <col min="6" max="6" width="7.3984375" customWidth="1"/>
    <col min="7" max="7" width="7.59765625" customWidth="1"/>
    <col min="8" max="8" width="7.265625" customWidth="1"/>
    <col min="9" max="9" width="6.19921875" customWidth="1"/>
    <col min="10" max="10" width="5.1328125" customWidth="1"/>
    <col min="11" max="11" width="6" customWidth="1"/>
    <col min="12" max="12" width="5.796875" customWidth="1"/>
    <col min="13" max="13" width="6.796875" customWidth="1"/>
    <col min="14" max="14" width="6.796875" style="17" customWidth="1"/>
    <col min="15" max="15" width="6.06640625" style="17" customWidth="1"/>
    <col min="16" max="17" width="6" style="17" customWidth="1"/>
    <col min="18" max="18" width="5.265625" style="17" customWidth="1"/>
    <col min="19" max="19" width="5.46484375" style="17" customWidth="1"/>
    <col min="20" max="20" width="4.9296875" style="17" customWidth="1"/>
    <col min="21" max="21" width="6.73046875" style="17" customWidth="1"/>
    <col min="22" max="22" width="5.73046875" style="17" customWidth="1"/>
    <col min="23" max="23" width="7.265625" customWidth="1"/>
    <col min="24" max="24" width="5.73046875" customWidth="1"/>
    <col min="25" max="25" width="6.33203125" customWidth="1"/>
    <col min="26" max="26" width="6.53125" customWidth="1"/>
    <col min="27" max="27" width="6" customWidth="1"/>
    <col min="28" max="28" width="6.265625" customWidth="1"/>
    <col min="29" max="29" width="5.19921875" customWidth="1"/>
    <col min="30" max="30" width="5.59765625" customWidth="1"/>
    <col min="31" max="31" width="5.9296875" customWidth="1"/>
    <col min="32" max="32" width="6.59765625" customWidth="1"/>
    <col min="33" max="33" width="5.46484375" customWidth="1"/>
    <col min="34" max="35" width="6.265625" customWidth="1"/>
    <col min="36" max="36" width="7.53125" customWidth="1"/>
    <col min="37" max="37" width="6.06640625" customWidth="1"/>
    <col min="38" max="38" width="5.19921875" customWidth="1"/>
    <col min="39" max="43" width="6.19921875" customWidth="1"/>
    <col min="44" max="48" width="7.9296875" customWidth="1"/>
    <col min="49" max="49" width="5" customWidth="1"/>
    <col min="50" max="50" width="5.19921875" customWidth="1"/>
    <col min="51" max="51" width="7.33203125" style="13" customWidth="1"/>
    <col min="52" max="52" width="20.796875" style="13" customWidth="1"/>
    <col min="53" max="53" width="16.19921875" style="13" customWidth="1"/>
    <col min="54" max="54" width="14.33203125" style="13" customWidth="1"/>
    <col min="55" max="55" width="12.59765625" style="13" customWidth="1"/>
    <col min="56" max="56" width="5.86328125" customWidth="1"/>
    <col min="57" max="57" width="7.33203125" customWidth="1"/>
  </cols>
  <sheetData>
    <row r="1" spans="1:57" ht="91.5" customHeight="1">
      <c r="A1" s="23" t="s">
        <v>171</v>
      </c>
      <c r="B1" s="18" t="s">
        <v>0</v>
      </c>
      <c r="C1" s="19" t="s">
        <v>172</v>
      </c>
      <c r="D1" s="18" t="s">
        <v>173</v>
      </c>
      <c r="E1" s="2" t="s">
        <v>174</v>
      </c>
      <c r="F1" s="2" t="s">
        <v>175</v>
      </c>
      <c r="G1" s="5" t="s">
        <v>176</v>
      </c>
      <c r="H1" s="2" t="s">
        <v>177</v>
      </c>
      <c r="I1" s="2" t="s">
        <v>178</v>
      </c>
      <c r="J1" s="5" t="s">
        <v>179</v>
      </c>
      <c r="K1" s="2" t="s">
        <v>180</v>
      </c>
      <c r="L1" s="2" t="s">
        <v>181</v>
      </c>
      <c r="M1" s="2" t="s">
        <v>182</v>
      </c>
      <c r="N1" s="14" t="s">
        <v>183</v>
      </c>
      <c r="O1" s="14" t="s">
        <v>184</v>
      </c>
      <c r="P1" s="14" t="s">
        <v>185</v>
      </c>
      <c r="Q1" s="14" t="s">
        <v>186</v>
      </c>
      <c r="R1" s="14" t="s">
        <v>187</v>
      </c>
      <c r="S1" s="14" t="s">
        <v>188</v>
      </c>
      <c r="T1" s="14" t="s">
        <v>189</v>
      </c>
      <c r="U1" s="14" t="s">
        <v>190</v>
      </c>
      <c r="V1" s="14" t="s">
        <v>191</v>
      </c>
      <c r="W1" s="5" t="s">
        <v>192</v>
      </c>
      <c r="X1" s="5" t="s">
        <v>193</v>
      </c>
      <c r="Y1" s="5" t="s">
        <v>194</v>
      </c>
      <c r="Z1" s="6" t="s">
        <v>195</v>
      </c>
      <c r="AA1" s="6" t="s">
        <v>196</v>
      </c>
      <c r="AB1" s="6" t="s">
        <v>197</v>
      </c>
      <c r="AC1" s="6" t="s">
        <v>198</v>
      </c>
      <c r="AD1" s="7" t="s">
        <v>199</v>
      </c>
      <c r="AE1" s="7" t="s">
        <v>200</v>
      </c>
      <c r="AF1" s="7" t="s">
        <v>201</v>
      </c>
      <c r="AG1" s="7" t="s">
        <v>202</v>
      </c>
      <c r="AH1" s="3" t="s">
        <v>1</v>
      </c>
      <c r="AI1" s="3" t="s">
        <v>203</v>
      </c>
      <c r="AJ1" s="46" t="s">
        <v>204</v>
      </c>
      <c r="AK1" s="46" t="s">
        <v>205</v>
      </c>
      <c r="AL1" s="46" t="s">
        <v>206</v>
      </c>
      <c r="AM1" s="46" t="s">
        <v>207</v>
      </c>
      <c r="AN1" s="46" t="s">
        <v>208</v>
      </c>
      <c r="AO1" s="46" t="s">
        <v>209</v>
      </c>
      <c r="AP1" s="46" t="s">
        <v>210</v>
      </c>
      <c r="AQ1" s="46" t="s">
        <v>211</v>
      </c>
      <c r="AR1" s="46" t="s">
        <v>212</v>
      </c>
      <c r="AS1" s="46" t="s">
        <v>213</v>
      </c>
      <c r="AT1" s="46" t="s">
        <v>214</v>
      </c>
      <c r="AU1" s="46" t="s">
        <v>215</v>
      </c>
      <c r="AV1" s="47" t="s">
        <v>216</v>
      </c>
      <c r="AW1" s="3" t="s">
        <v>217</v>
      </c>
      <c r="AX1" s="3" t="s">
        <v>218</v>
      </c>
      <c r="AY1" s="10" t="s">
        <v>219</v>
      </c>
      <c r="AZ1" s="10" t="s">
        <v>220</v>
      </c>
      <c r="BA1" s="11" t="s">
        <v>221</v>
      </c>
      <c r="BB1" s="10" t="s">
        <v>222</v>
      </c>
      <c r="BC1" s="10" t="s">
        <v>223</v>
      </c>
      <c r="BD1" s="46" t="s">
        <v>225</v>
      </c>
      <c r="BE1" s="46" t="s">
        <v>224</v>
      </c>
    </row>
    <row r="2" spans="1:57" ht="15.75" customHeight="1">
      <c r="A2" s="25" t="s">
        <v>2</v>
      </c>
      <c r="B2" s="20">
        <v>100</v>
      </c>
      <c r="C2" s="20">
        <v>150</v>
      </c>
      <c r="D2" s="1">
        <v>0</v>
      </c>
      <c r="E2" s="37">
        <v>342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37">
        <v>100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39">
        <v>250</v>
      </c>
      <c r="AB2" s="1">
        <v>0</v>
      </c>
      <c r="AC2" s="1">
        <v>0</v>
      </c>
      <c r="AD2" s="38">
        <v>50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2">
        <v>1</v>
      </c>
      <c r="BA2" s="12">
        <v>7</v>
      </c>
      <c r="BB2" s="1">
        <v>0</v>
      </c>
      <c r="BC2" s="1">
        <v>0</v>
      </c>
      <c r="BD2" s="9">
        <v>0</v>
      </c>
      <c r="BE2" s="9">
        <f>SUM(B2:BD2)</f>
        <v>1000</v>
      </c>
    </row>
    <row r="3" spans="1:57" ht="15.75" customHeight="1">
      <c r="A3" s="25" t="s">
        <v>3</v>
      </c>
      <c r="B3" s="24">
        <v>100</v>
      </c>
      <c r="C3" s="20">
        <v>150</v>
      </c>
      <c r="D3" s="1">
        <v>0</v>
      </c>
      <c r="E3" s="37">
        <v>442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37">
        <v>100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39">
        <v>200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9"/>
      <c r="AY3" s="1">
        <v>0</v>
      </c>
      <c r="AZ3" s="12">
        <v>1</v>
      </c>
      <c r="BA3" s="12">
        <v>7</v>
      </c>
      <c r="BB3" s="1">
        <v>0</v>
      </c>
      <c r="BC3" s="1">
        <v>0</v>
      </c>
      <c r="BD3" s="9">
        <v>0</v>
      </c>
      <c r="BE3" s="9">
        <f t="shared" ref="BE3:BE66" si="0">SUM(B3:BD3)</f>
        <v>1000</v>
      </c>
    </row>
    <row r="4" spans="1:57" ht="15.75" customHeight="1">
      <c r="A4" s="25" t="s">
        <v>4</v>
      </c>
      <c r="B4" s="24">
        <v>230</v>
      </c>
      <c r="C4" s="20">
        <v>15</v>
      </c>
      <c r="D4" s="1">
        <v>0</v>
      </c>
      <c r="E4" s="37">
        <v>482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37">
        <v>100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39">
        <v>160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39">
        <v>5</v>
      </c>
      <c r="AY4" s="1">
        <v>0</v>
      </c>
      <c r="AZ4" s="12">
        <v>1</v>
      </c>
      <c r="BA4" s="12">
        <v>7</v>
      </c>
      <c r="BB4" s="1">
        <v>0</v>
      </c>
      <c r="BC4" s="1">
        <v>0</v>
      </c>
      <c r="BD4" s="9">
        <v>0</v>
      </c>
      <c r="BE4" s="9">
        <f t="shared" si="0"/>
        <v>1000</v>
      </c>
    </row>
    <row r="5" spans="1:57" s="40" customFormat="1" ht="15.75" customHeight="1">
      <c r="A5" s="36" t="s">
        <v>55</v>
      </c>
      <c r="B5" s="20">
        <v>260</v>
      </c>
      <c r="C5" s="20">
        <v>10</v>
      </c>
      <c r="D5" s="1">
        <v>0</v>
      </c>
      <c r="E5" s="37">
        <v>380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37">
        <v>250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9">
        <v>87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39">
        <v>5</v>
      </c>
      <c r="AY5" s="1">
        <v>0</v>
      </c>
      <c r="AZ5" s="12">
        <v>1</v>
      </c>
      <c r="BA5" s="12">
        <v>7</v>
      </c>
      <c r="BB5" s="1">
        <v>0</v>
      </c>
      <c r="BC5" s="1">
        <v>0</v>
      </c>
      <c r="BD5" s="39">
        <v>0</v>
      </c>
      <c r="BE5" s="9">
        <f t="shared" si="0"/>
        <v>1000</v>
      </c>
    </row>
    <row r="6" spans="1:57" s="40" customFormat="1" ht="15.75" customHeight="1">
      <c r="A6" s="36" t="s">
        <v>56</v>
      </c>
      <c r="B6" s="20">
        <v>230</v>
      </c>
      <c r="C6" s="20">
        <v>15</v>
      </c>
      <c r="D6" s="1">
        <v>0</v>
      </c>
      <c r="E6" s="37">
        <v>402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37">
        <v>100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9">
        <v>160</v>
      </c>
      <c r="AB6" s="38">
        <v>80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39">
        <v>5</v>
      </c>
      <c r="AY6" s="1">
        <v>0</v>
      </c>
      <c r="AZ6" s="12">
        <v>1</v>
      </c>
      <c r="BA6" s="12">
        <v>7</v>
      </c>
      <c r="BB6" s="1">
        <v>0</v>
      </c>
      <c r="BC6" s="1">
        <v>0</v>
      </c>
      <c r="BD6" s="39">
        <v>0</v>
      </c>
      <c r="BE6" s="9">
        <f t="shared" si="0"/>
        <v>1000</v>
      </c>
    </row>
    <row r="7" spans="1:57" s="40" customFormat="1" ht="15.75" customHeight="1">
      <c r="A7" s="36" t="s">
        <v>57</v>
      </c>
      <c r="B7" s="20">
        <v>200</v>
      </c>
      <c r="C7" s="20">
        <v>60</v>
      </c>
      <c r="D7" s="1">
        <v>0</v>
      </c>
      <c r="E7" s="37">
        <v>222.4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37">
        <v>200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5">
        <v>0.6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39">
        <v>300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39">
        <v>5</v>
      </c>
      <c r="AY7" s="1">
        <v>0</v>
      </c>
      <c r="AZ7" s="12">
        <v>1</v>
      </c>
      <c r="BA7" s="12">
        <v>5</v>
      </c>
      <c r="BB7" s="1">
        <v>0</v>
      </c>
      <c r="BC7" s="1">
        <v>0</v>
      </c>
      <c r="BD7" s="39">
        <v>6</v>
      </c>
      <c r="BE7" s="9">
        <f t="shared" si="0"/>
        <v>1000</v>
      </c>
    </row>
    <row r="8" spans="1:57" ht="15.75" customHeight="1">
      <c r="A8" s="25" t="s">
        <v>12</v>
      </c>
      <c r="B8" s="20">
        <v>125</v>
      </c>
      <c r="C8" s="20">
        <v>125</v>
      </c>
      <c r="D8" s="1">
        <v>0</v>
      </c>
      <c r="E8" s="37">
        <v>337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37">
        <v>200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39">
        <v>200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39">
        <v>5</v>
      </c>
      <c r="AY8" s="1">
        <v>0</v>
      </c>
      <c r="AZ8" s="12">
        <v>1</v>
      </c>
      <c r="BA8" s="12">
        <v>7</v>
      </c>
      <c r="BB8" s="1">
        <v>0</v>
      </c>
      <c r="BC8" s="1">
        <v>0</v>
      </c>
      <c r="BD8" s="9">
        <v>0</v>
      </c>
      <c r="BE8" s="9">
        <f t="shared" si="0"/>
        <v>1000</v>
      </c>
    </row>
    <row r="9" spans="1:57" ht="15.75" customHeight="1">
      <c r="A9" s="25" t="s">
        <v>5</v>
      </c>
      <c r="B9" s="20">
        <v>175</v>
      </c>
      <c r="C9" s="20">
        <v>75</v>
      </c>
      <c r="D9" s="1">
        <v>0</v>
      </c>
      <c r="E9" s="37">
        <v>307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37">
        <v>200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39">
        <v>100</v>
      </c>
      <c r="AB9" s="1">
        <v>0</v>
      </c>
      <c r="AC9" s="1">
        <v>0</v>
      </c>
      <c r="AD9" s="39">
        <v>130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39">
        <v>5</v>
      </c>
      <c r="AY9" s="1">
        <v>0</v>
      </c>
      <c r="AZ9" s="12">
        <v>1</v>
      </c>
      <c r="BA9" s="12">
        <v>7</v>
      </c>
      <c r="BB9" s="1">
        <v>0</v>
      </c>
      <c r="BC9" s="1">
        <v>0</v>
      </c>
      <c r="BD9" s="9">
        <v>0</v>
      </c>
      <c r="BE9" s="9">
        <f t="shared" si="0"/>
        <v>1000</v>
      </c>
    </row>
    <row r="10" spans="1:57" ht="15.75" customHeight="1">
      <c r="A10" s="25" t="s">
        <v>7</v>
      </c>
      <c r="B10" s="20">
        <v>230</v>
      </c>
      <c r="C10" s="20">
        <v>40</v>
      </c>
      <c r="D10" s="1">
        <v>0</v>
      </c>
      <c r="E10" s="37">
        <v>380.5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37">
        <v>230</v>
      </c>
      <c r="M10" s="1">
        <v>0</v>
      </c>
      <c r="N10" s="1">
        <v>0</v>
      </c>
      <c r="O10" s="1">
        <v>0</v>
      </c>
      <c r="P10" s="15">
        <v>0.5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39">
        <v>110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2">
        <v>1</v>
      </c>
      <c r="BA10" s="12">
        <v>8</v>
      </c>
      <c r="BB10" s="1">
        <v>0</v>
      </c>
      <c r="BC10" s="1">
        <v>0</v>
      </c>
      <c r="BD10" s="9">
        <v>0</v>
      </c>
      <c r="BE10" s="9">
        <f t="shared" si="0"/>
        <v>1000</v>
      </c>
    </row>
    <row r="11" spans="1:57" ht="15.75" customHeight="1">
      <c r="A11" s="25" t="s">
        <v>11</v>
      </c>
      <c r="B11" s="20">
        <v>230</v>
      </c>
      <c r="C11" s="20">
        <v>15</v>
      </c>
      <c r="D11" s="1">
        <v>0</v>
      </c>
      <c r="E11" s="37">
        <v>406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37">
        <v>230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39">
        <v>110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2">
        <v>1</v>
      </c>
      <c r="BA11" s="12">
        <v>8</v>
      </c>
      <c r="BB11" s="1">
        <v>0</v>
      </c>
      <c r="BC11" s="1">
        <v>0</v>
      </c>
      <c r="BD11" s="9">
        <v>0</v>
      </c>
      <c r="BE11" s="9">
        <f t="shared" si="0"/>
        <v>1000</v>
      </c>
    </row>
    <row r="12" spans="1:57" ht="15.75" customHeight="1">
      <c r="A12" s="25" t="s">
        <v>8</v>
      </c>
      <c r="B12" s="20">
        <v>230</v>
      </c>
      <c r="C12" s="20">
        <v>15</v>
      </c>
      <c r="D12" s="1">
        <v>0</v>
      </c>
      <c r="E12" s="37">
        <v>406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37">
        <v>230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39">
        <v>110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2">
        <v>1</v>
      </c>
      <c r="BA12" s="12">
        <v>8</v>
      </c>
      <c r="BB12" s="1">
        <v>0</v>
      </c>
      <c r="BC12" s="1">
        <v>0</v>
      </c>
      <c r="BD12" s="9">
        <v>0</v>
      </c>
      <c r="BE12" s="9">
        <f t="shared" si="0"/>
        <v>1000</v>
      </c>
    </row>
    <row r="13" spans="1:57" ht="15.75" customHeight="1">
      <c r="A13" s="25" t="s">
        <v>15</v>
      </c>
      <c r="B13" s="1">
        <v>0</v>
      </c>
      <c r="C13" s="20">
        <v>250</v>
      </c>
      <c r="D13" s="1">
        <v>0</v>
      </c>
      <c r="E13" s="37">
        <v>343</v>
      </c>
      <c r="F13" s="1">
        <v>0</v>
      </c>
      <c r="G13" s="1">
        <v>0</v>
      </c>
      <c r="H13" s="1">
        <v>0</v>
      </c>
      <c r="I13" s="37">
        <v>150</v>
      </c>
      <c r="J13" s="8"/>
      <c r="K13" s="37">
        <v>100</v>
      </c>
      <c r="L13" s="37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6">
        <v>15</v>
      </c>
      <c r="W13" s="1">
        <v>0</v>
      </c>
      <c r="X13" s="1">
        <v>0</v>
      </c>
      <c r="Y13" s="1">
        <v>0</v>
      </c>
      <c r="Z13" s="1">
        <v>0</v>
      </c>
      <c r="AA13" s="39">
        <v>30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2">
        <v>1</v>
      </c>
      <c r="BA13" s="12">
        <v>5</v>
      </c>
      <c r="BB13" s="1">
        <v>0</v>
      </c>
      <c r="BC13" s="1">
        <v>0</v>
      </c>
      <c r="BD13" s="39">
        <v>6</v>
      </c>
      <c r="BE13" s="9">
        <f t="shared" si="0"/>
        <v>1000</v>
      </c>
    </row>
    <row r="14" spans="1:57" s="40" customFormat="1" ht="15.75" customHeight="1">
      <c r="A14" s="36" t="s">
        <v>58</v>
      </c>
      <c r="B14" s="1">
        <v>0</v>
      </c>
      <c r="C14" s="20">
        <v>250</v>
      </c>
      <c r="D14" s="1">
        <v>0</v>
      </c>
      <c r="E14" s="37">
        <v>343</v>
      </c>
      <c r="F14" s="1">
        <v>0</v>
      </c>
      <c r="G14" s="1">
        <v>0</v>
      </c>
      <c r="H14" s="1">
        <v>0</v>
      </c>
      <c r="I14" s="37">
        <v>160</v>
      </c>
      <c r="J14" s="1">
        <v>0</v>
      </c>
      <c r="K14" s="37">
        <v>110</v>
      </c>
      <c r="L14" s="37">
        <v>110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5">
        <v>15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2">
        <v>1</v>
      </c>
      <c r="BA14" s="12">
        <v>5</v>
      </c>
      <c r="BB14" s="1">
        <v>0</v>
      </c>
      <c r="BC14" s="1">
        <v>0</v>
      </c>
      <c r="BD14" s="39">
        <v>6</v>
      </c>
      <c r="BE14" s="9">
        <f t="shared" si="0"/>
        <v>1000</v>
      </c>
    </row>
    <row r="15" spans="1:57" s="40" customFormat="1" ht="15.75" customHeight="1">
      <c r="A15" s="36" t="s">
        <v>59</v>
      </c>
      <c r="B15" s="20">
        <v>80</v>
      </c>
      <c r="C15" s="20">
        <v>170</v>
      </c>
      <c r="D15" s="1">
        <v>0</v>
      </c>
      <c r="E15" s="37">
        <v>313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7">
        <v>220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38">
        <v>100</v>
      </c>
      <c r="AB15" s="1">
        <v>0</v>
      </c>
      <c r="AC15" s="1">
        <v>0</v>
      </c>
      <c r="AD15" s="39">
        <v>100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39">
        <v>5</v>
      </c>
      <c r="AY15" s="1">
        <v>0</v>
      </c>
      <c r="AZ15" s="12">
        <v>1</v>
      </c>
      <c r="BA15" s="12">
        <v>5</v>
      </c>
      <c r="BB15" s="1">
        <v>0</v>
      </c>
      <c r="BC15" s="1">
        <v>0</v>
      </c>
      <c r="BD15" s="39">
        <v>6</v>
      </c>
      <c r="BE15" s="9">
        <f t="shared" si="0"/>
        <v>1000</v>
      </c>
    </row>
    <row r="16" spans="1:57" ht="15.75" customHeight="1">
      <c r="A16" s="25" t="s">
        <v>9</v>
      </c>
      <c r="B16" s="1">
        <v>0</v>
      </c>
      <c r="C16" s="20">
        <v>200</v>
      </c>
      <c r="D16" s="1">
        <v>0</v>
      </c>
      <c r="E16" s="37">
        <v>300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37">
        <v>100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38">
        <v>196</v>
      </c>
      <c r="AC16" s="1">
        <v>0</v>
      </c>
      <c r="AD16" s="1">
        <v>0</v>
      </c>
      <c r="AE16" s="38">
        <v>196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2">
        <v>1</v>
      </c>
      <c r="BA16" s="12">
        <v>7</v>
      </c>
      <c r="BB16" s="1">
        <v>0</v>
      </c>
      <c r="BC16" s="1">
        <v>0</v>
      </c>
      <c r="BD16" s="9">
        <v>0</v>
      </c>
      <c r="BE16" s="9">
        <f t="shared" si="0"/>
        <v>1000</v>
      </c>
    </row>
    <row r="17" spans="1:58" ht="15.75" customHeight="1">
      <c r="A17" s="25" t="s">
        <v>10</v>
      </c>
      <c r="B17" s="1">
        <v>0</v>
      </c>
      <c r="C17" s="20">
        <v>250</v>
      </c>
      <c r="D17" s="1">
        <v>0</v>
      </c>
      <c r="E17" s="37">
        <v>378</v>
      </c>
      <c r="F17" s="1">
        <v>0</v>
      </c>
      <c r="G17" s="1">
        <v>0</v>
      </c>
      <c r="H17" s="1">
        <v>0</v>
      </c>
      <c r="I17" s="37">
        <v>181.2</v>
      </c>
      <c r="J17" s="1">
        <v>0</v>
      </c>
      <c r="K17" s="1">
        <v>0</v>
      </c>
      <c r="L17" s="37">
        <v>110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5">
        <v>14.8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39">
        <v>58</v>
      </c>
      <c r="AY17" s="1">
        <v>0</v>
      </c>
      <c r="AZ17" s="12">
        <v>1</v>
      </c>
      <c r="BA17" s="12">
        <v>7</v>
      </c>
      <c r="BB17" s="1">
        <v>0</v>
      </c>
      <c r="BC17" s="1">
        <v>0</v>
      </c>
      <c r="BD17" s="9">
        <v>0</v>
      </c>
      <c r="BE17" s="9">
        <f t="shared" si="0"/>
        <v>1000</v>
      </c>
    </row>
    <row r="18" spans="1:58" s="40" customFormat="1" ht="15.75" customHeight="1">
      <c r="A18" s="36" t="s">
        <v>60</v>
      </c>
      <c r="B18" s="1">
        <v>0</v>
      </c>
      <c r="C18" s="20">
        <v>250</v>
      </c>
      <c r="D18" s="1">
        <v>0</v>
      </c>
      <c r="E18" s="37">
        <v>378</v>
      </c>
      <c r="F18" s="1">
        <v>0</v>
      </c>
      <c r="G18" s="1">
        <v>0</v>
      </c>
      <c r="H18" s="1">
        <v>0</v>
      </c>
      <c r="I18" s="37">
        <v>164.2</v>
      </c>
      <c r="J18" s="1">
        <v>0</v>
      </c>
      <c r="K18" s="1">
        <v>0</v>
      </c>
      <c r="L18" s="37">
        <v>110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5">
        <v>14.8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39">
        <v>75</v>
      </c>
      <c r="AY18" s="1">
        <v>0</v>
      </c>
      <c r="AZ18" s="12">
        <v>1</v>
      </c>
      <c r="BA18" s="12">
        <v>7</v>
      </c>
      <c r="BB18" s="1">
        <v>0</v>
      </c>
      <c r="BC18" s="1">
        <v>0</v>
      </c>
      <c r="BD18" s="9">
        <v>0</v>
      </c>
      <c r="BE18" s="9">
        <f t="shared" si="0"/>
        <v>1000</v>
      </c>
    </row>
    <row r="19" spans="1:58" ht="15.75" customHeight="1">
      <c r="A19" s="25" t="s">
        <v>14</v>
      </c>
      <c r="B19" s="20">
        <v>180</v>
      </c>
      <c r="C19" s="20">
        <v>40</v>
      </c>
      <c r="D19" s="20">
        <v>70</v>
      </c>
      <c r="E19" s="37">
        <v>547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5">
        <v>2</v>
      </c>
      <c r="Q19" s="1">
        <v>0</v>
      </c>
      <c r="R19" s="1">
        <v>0</v>
      </c>
      <c r="S19" s="1">
        <v>0</v>
      </c>
      <c r="T19" s="15">
        <v>2.5</v>
      </c>
      <c r="U19" s="1">
        <v>0</v>
      </c>
      <c r="V19" s="15">
        <v>2.5</v>
      </c>
      <c r="W19" s="1">
        <v>0</v>
      </c>
      <c r="X19" s="38">
        <v>150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2">
        <v>0.5</v>
      </c>
      <c r="BA19" s="12">
        <v>5.5</v>
      </c>
      <c r="BB19" s="1">
        <v>0</v>
      </c>
      <c r="BC19" s="1">
        <v>0</v>
      </c>
      <c r="BD19" s="9">
        <v>0</v>
      </c>
      <c r="BE19" s="9">
        <f t="shared" si="0"/>
        <v>1000</v>
      </c>
    </row>
    <row r="20" spans="1:58" ht="15.75" customHeight="1">
      <c r="A20" s="28" t="s">
        <v>42</v>
      </c>
      <c r="B20" s="20">
        <v>250</v>
      </c>
      <c r="C20" s="1">
        <v>0</v>
      </c>
      <c r="D20" s="1">
        <v>0</v>
      </c>
      <c r="E20" s="37">
        <v>335</v>
      </c>
      <c r="F20" s="1">
        <v>0</v>
      </c>
      <c r="G20" s="1">
        <v>0</v>
      </c>
      <c r="H20" s="1">
        <v>0</v>
      </c>
      <c r="I20" s="37">
        <v>150</v>
      </c>
      <c r="J20" s="31"/>
      <c r="K20" s="37">
        <v>100</v>
      </c>
      <c r="L20" s="1">
        <v>0</v>
      </c>
      <c r="M20" s="37">
        <v>100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5">
        <v>1</v>
      </c>
      <c r="T20" s="1">
        <v>0</v>
      </c>
      <c r="U20" s="1">
        <v>0</v>
      </c>
      <c r="V20" s="15">
        <v>20</v>
      </c>
      <c r="W20" s="1">
        <v>0</v>
      </c>
      <c r="X20" s="1">
        <v>0</v>
      </c>
      <c r="Y20" s="1">
        <v>0</v>
      </c>
      <c r="Z20" s="1">
        <v>0</v>
      </c>
      <c r="AA20" s="38">
        <v>30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2">
        <v>1</v>
      </c>
      <c r="BA20" s="12">
        <v>7</v>
      </c>
      <c r="BB20" s="1">
        <v>0</v>
      </c>
      <c r="BC20" s="1">
        <v>0</v>
      </c>
      <c r="BD20" s="39">
        <v>6</v>
      </c>
      <c r="BE20" s="9">
        <f t="shared" si="0"/>
        <v>1000</v>
      </c>
    </row>
    <row r="21" spans="1:58" s="9" customFormat="1" ht="15" customHeight="1">
      <c r="A21" s="25" t="s">
        <v>43</v>
      </c>
      <c r="B21" s="20">
        <v>250</v>
      </c>
      <c r="C21" s="1">
        <v>0</v>
      </c>
      <c r="D21" s="1">
        <v>0</v>
      </c>
      <c r="E21" s="37">
        <v>335</v>
      </c>
      <c r="F21" s="1">
        <v>0</v>
      </c>
      <c r="G21" s="1">
        <v>0</v>
      </c>
      <c r="H21" s="1">
        <v>0</v>
      </c>
      <c r="I21" s="37">
        <v>160</v>
      </c>
      <c r="K21" s="37">
        <v>110</v>
      </c>
      <c r="L21" s="37">
        <v>110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5">
        <v>1</v>
      </c>
      <c r="T21" s="1">
        <v>0</v>
      </c>
      <c r="U21" s="1">
        <v>0</v>
      </c>
      <c r="V21" s="15">
        <v>20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2">
        <v>1</v>
      </c>
      <c r="BA21" s="12">
        <v>7</v>
      </c>
      <c r="BB21" s="1">
        <v>0</v>
      </c>
      <c r="BC21" s="1">
        <v>0</v>
      </c>
      <c r="BD21" s="39">
        <v>6</v>
      </c>
      <c r="BE21" s="9">
        <f t="shared" si="0"/>
        <v>1000</v>
      </c>
      <c r="BF21" s="56"/>
    </row>
    <row r="22" spans="1:58" ht="15.75" customHeight="1">
      <c r="A22" s="25" t="s">
        <v>41</v>
      </c>
      <c r="B22" s="20">
        <v>80</v>
      </c>
      <c r="C22" s="20">
        <v>120</v>
      </c>
      <c r="D22" s="20">
        <v>50</v>
      </c>
      <c r="E22" s="37">
        <v>299.3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5">
        <v>0.8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5">
        <v>2.4</v>
      </c>
      <c r="W22" s="1">
        <v>0</v>
      </c>
      <c r="X22" s="1">
        <v>0</v>
      </c>
      <c r="Y22" s="38">
        <v>100</v>
      </c>
      <c r="Z22" s="1">
        <v>0</v>
      </c>
      <c r="AA22" s="38">
        <v>230</v>
      </c>
      <c r="AB22" s="1">
        <v>0</v>
      </c>
      <c r="AC22" s="1">
        <v>0</v>
      </c>
      <c r="AD22" s="38">
        <v>110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2">
        <v>0.5</v>
      </c>
      <c r="BA22" s="12">
        <v>5</v>
      </c>
      <c r="BB22" s="12">
        <v>1</v>
      </c>
      <c r="BC22" s="1">
        <v>0</v>
      </c>
      <c r="BD22" s="39">
        <v>1</v>
      </c>
      <c r="BE22" s="9">
        <f t="shared" si="0"/>
        <v>999.99999999999989</v>
      </c>
    </row>
    <row r="23" spans="1:58" ht="15.75" customHeight="1">
      <c r="A23" s="25" t="s">
        <v>20</v>
      </c>
      <c r="B23" s="20">
        <v>80</v>
      </c>
      <c r="C23" s="20">
        <v>120</v>
      </c>
      <c r="D23" s="20">
        <v>50</v>
      </c>
      <c r="E23" s="37">
        <v>301.10000000000002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5">
        <v>0.6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5">
        <v>1.8</v>
      </c>
      <c r="W23" s="1">
        <v>0</v>
      </c>
      <c r="X23" s="1">
        <v>0</v>
      </c>
      <c r="Y23" s="38">
        <v>100</v>
      </c>
      <c r="Z23" s="1">
        <v>0</v>
      </c>
      <c r="AA23" s="38">
        <v>230</v>
      </c>
      <c r="AB23" s="1">
        <v>0</v>
      </c>
      <c r="AC23" s="1">
        <v>0</v>
      </c>
      <c r="AD23" s="38">
        <v>110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2">
        <v>0.5</v>
      </c>
      <c r="BA23" s="12">
        <v>5</v>
      </c>
      <c r="BB23" s="12">
        <v>1</v>
      </c>
      <c r="BC23" s="1">
        <v>0</v>
      </c>
      <c r="BD23" s="9"/>
      <c r="BE23" s="9">
        <f t="shared" si="0"/>
        <v>1000</v>
      </c>
    </row>
    <row r="24" spans="1:58" ht="15.75" customHeight="1">
      <c r="A24" s="4" t="s">
        <v>23</v>
      </c>
      <c r="B24" s="1">
        <v>0</v>
      </c>
      <c r="C24" s="20">
        <v>180</v>
      </c>
      <c r="D24" s="20">
        <v>70</v>
      </c>
      <c r="E24" s="1">
        <v>0</v>
      </c>
      <c r="F24" s="37">
        <v>50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5">
        <v>0.3</v>
      </c>
      <c r="Q24" s="1">
        <v>0</v>
      </c>
      <c r="R24" s="1">
        <v>0</v>
      </c>
      <c r="S24" s="1">
        <v>0</v>
      </c>
      <c r="T24" s="15">
        <v>0.2</v>
      </c>
      <c r="U24" s="1">
        <v>0</v>
      </c>
      <c r="V24" s="15">
        <v>0.3</v>
      </c>
      <c r="W24" s="37">
        <v>187.7</v>
      </c>
      <c r="X24" s="1">
        <v>0</v>
      </c>
      <c r="Y24" s="1">
        <v>0</v>
      </c>
      <c r="Z24" s="1">
        <v>0</v>
      </c>
      <c r="AA24" s="38">
        <v>170</v>
      </c>
      <c r="AB24" s="1">
        <v>0</v>
      </c>
      <c r="AC24" s="1">
        <v>0</v>
      </c>
      <c r="AD24" s="1">
        <v>0</v>
      </c>
      <c r="AE24" s="38">
        <v>150</v>
      </c>
      <c r="AF24" s="1">
        <v>0</v>
      </c>
      <c r="AG24" s="38">
        <v>80</v>
      </c>
      <c r="AH24" s="38">
        <v>100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2">
        <v>0.5</v>
      </c>
      <c r="BA24" s="12">
        <v>10</v>
      </c>
      <c r="BB24" s="12">
        <v>1</v>
      </c>
      <c r="BC24" s="1">
        <v>0</v>
      </c>
      <c r="BD24" s="9"/>
      <c r="BE24" s="9">
        <f t="shared" si="0"/>
        <v>1000</v>
      </c>
    </row>
    <row r="25" spans="1:58" ht="15.75" customHeight="1">
      <c r="A25" s="25" t="s">
        <v>17</v>
      </c>
      <c r="B25" s="20">
        <v>150</v>
      </c>
      <c r="C25" s="20">
        <v>100</v>
      </c>
      <c r="D25" s="1">
        <v>0</v>
      </c>
      <c r="E25" s="37">
        <v>337.7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37">
        <v>100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5">
        <v>0.3</v>
      </c>
      <c r="U25" s="1">
        <v>0</v>
      </c>
      <c r="V25" s="1">
        <v>0</v>
      </c>
      <c r="W25" s="1">
        <v>0</v>
      </c>
      <c r="X25" s="1">
        <v>0</v>
      </c>
      <c r="Y25" s="38">
        <v>225</v>
      </c>
      <c r="Z25" s="1">
        <v>0</v>
      </c>
      <c r="AA25" s="38">
        <v>75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2">
        <v>1</v>
      </c>
      <c r="BA25" s="12">
        <v>7</v>
      </c>
      <c r="BB25" s="1">
        <v>0</v>
      </c>
      <c r="BC25" s="1">
        <v>0</v>
      </c>
      <c r="BD25" s="39">
        <v>4</v>
      </c>
      <c r="BE25" s="9">
        <f t="shared" si="0"/>
        <v>1000</v>
      </c>
    </row>
    <row r="26" spans="1:58" s="40" customFormat="1" ht="15.75" customHeight="1">
      <c r="A26" s="36" t="s">
        <v>61</v>
      </c>
      <c r="B26" s="20">
        <v>125</v>
      </c>
      <c r="C26" s="20">
        <v>125</v>
      </c>
      <c r="D26" s="1">
        <v>0</v>
      </c>
      <c r="E26" s="37">
        <v>387.7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37">
        <v>100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5">
        <v>0.3</v>
      </c>
      <c r="U26" s="1">
        <v>0</v>
      </c>
      <c r="V26" s="1">
        <v>0</v>
      </c>
      <c r="W26" s="1">
        <v>0</v>
      </c>
      <c r="X26" s="1">
        <v>0</v>
      </c>
      <c r="Y26" s="38">
        <v>250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2">
        <v>1</v>
      </c>
      <c r="BA26" s="12">
        <v>7</v>
      </c>
      <c r="BB26" s="1">
        <v>0</v>
      </c>
      <c r="BC26" s="1">
        <v>0</v>
      </c>
      <c r="BD26" s="39">
        <v>4</v>
      </c>
      <c r="BE26" s="9">
        <f t="shared" si="0"/>
        <v>1000</v>
      </c>
    </row>
    <row r="27" spans="1:58" ht="16.899999999999999" customHeight="1">
      <c r="A27" s="25" t="s">
        <v>44</v>
      </c>
      <c r="B27" s="20">
        <v>180</v>
      </c>
      <c r="C27" s="1">
        <v>0</v>
      </c>
      <c r="D27" s="20">
        <v>70</v>
      </c>
      <c r="E27" s="37">
        <v>397.5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5">
        <v>1.5</v>
      </c>
      <c r="Q27" s="1">
        <v>0</v>
      </c>
      <c r="R27" s="1">
        <v>0</v>
      </c>
      <c r="S27" s="1">
        <v>0</v>
      </c>
      <c r="T27" s="15">
        <v>2</v>
      </c>
      <c r="U27" s="1">
        <v>0</v>
      </c>
      <c r="V27" s="15">
        <v>0.5</v>
      </c>
      <c r="W27" s="1">
        <v>0</v>
      </c>
      <c r="X27" s="1">
        <v>0</v>
      </c>
      <c r="Y27" s="1">
        <v>0</v>
      </c>
      <c r="Z27" s="38">
        <v>200</v>
      </c>
      <c r="AA27" s="38">
        <v>140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2">
        <v>0.5</v>
      </c>
      <c r="BA27" s="12">
        <v>5</v>
      </c>
      <c r="BB27" s="12">
        <v>1</v>
      </c>
      <c r="BC27" s="1">
        <v>0</v>
      </c>
      <c r="BD27" s="39">
        <v>2</v>
      </c>
      <c r="BE27" s="9">
        <f t="shared" si="0"/>
        <v>1000</v>
      </c>
    </row>
    <row r="28" spans="1:58" ht="15.75" customHeight="1">
      <c r="A28" s="25" t="s">
        <v>45</v>
      </c>
      <c r="B28" s="20">
        <v>180</v>
      </c>
      <c r="C28" s="1">
        <v>0</v>
      </c>
      <c r="D28" s="20">
        <v>70</v>
      </c>
      <c r="E28" s="37">
        <v>397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5">
        <v>2</v>
      </c>
      <c r="Q28" s="1">
        <v>0</v>
      </c>
      <c r="R28" s="1">
        <v>0</v>
      </c>
      <c r="S28" s="1">
        <v>0</v>
      </c>
      <c r="T28" s="15">
        <v>2</v>
      </c>
      <c r="U28" s="1">
        <v>0</v>
      </c>
      <c r="V28" s="15">
        <v>0.5</v>
      </c>
      <c r="W28" s="1">
        <v>0</v>
      </c>
      <c r="X28" s="1">
        <v>0</v>
      </c>
      <c r="Y28" s="1">
        <v>0</v>
      </c>
      <c r="Z28" s="38">
        <v>200</v>
      </c>
      <c r="AA28" s="38">
        <v>140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2">
        <v>0.5</v>
      </c>
      <c r="BA28" s="12">
        <v>5</v>
      </c>
      <c r="BB28" s="12">
        <v>1</v>
      </c>
      <c r="BC28" s="1">
        <v>0</v>
      </c>
      <c r="BD28" s="39">
        <v>2</v>
      </c>
      <c r="BE28" s="9">
        <f t="shared" si="0"/>
        <v>1000</v>
      </c>
    </row>
    <row r="29" spans="1:58" ht="15.75" customHeight="1">
      <c r="A29" s="25" t="s">
        <v>46</v>
      </c>
      <c r="B29" s="1">
        <v>0</v>
      </c>
      <c r="C29" s="20">
        <v>180</v>
      </c>
      <c r="D29" s="20">
        <v>70</v>
      </c>
      <c r="E29" s="37">
        <v>391.2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5">
        <v>0.3</v>
      </c>
      <c r="T29" s="1">
        <v>0</v>
      </c>
      <c r="U29" s="1">
        <v>0</v>
      </c>
      <c r="V29" s="15">
        <v>2</v>
      </c>
      <c r="W29" s="1">
        <v>0</v>
      </c>
      <c r="X29" s="1">
        <v>0</v>
      </c>
      <c r="Y29" s="38">
        <v>100</v>
      </c>
      <c r="Z29" s="1">
        <v>0</v>
      </c>
      <c r="AA29" s="1">
        <v>0</v>
      </c>
      <c r="AB29" s="38">
        <v>100</v>
      </c>
      <c r="AC29" s="1">
        <v>0</v>
      </c>
      <c r="AD29" s="1">
        <v>0</v>
      </c>
      <c r="AE29" s="1">
        <v>0</v>
      </c>
      <c r="AF29" s="38">
        <v>150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2">
        <v>0.5</v>
      </c>
      <c r="BA29" s="12">
        <v>5</v>
      </c>
      <c r="BB29" s="12">
        <v>1</v>
      </c>
      <c r="BC29" s="1">
        <v>0</v>
      </c>
      <c r="BD29" s="9">
        <v>0</v>
      </c>
      <c r="BE29" s="9">
        <f t="shared" si="0"/>
        <v>1000</v>
      </c>
    </row>
    <row r="30" spans="1:58" ht="15.75" customHeight="1">
      <c r="A30" s="25" t="s">
        <v>54</v>
      </c>
      <c r="B30" s="20">
        <v>180</v>
      </c>
      <c r="C30" s="1">
        <v>0</v>
      </c>
      <c r="D30" s="20">
        <v>70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5">
        <v>1.5</v>
      </c>
      <c r="Q30" s="1">
        <v>0</v>
      </c>
      <c r="R30" s="1">
        <v>0</v>
      </c>
      <c r="S30" s="1">
        <v>0</v>
      </c>
      <c r="T30" s="15">
        <v>3.5</v>
      </c>
      <c r="U30" s="1">
        <v>0</v>
      </c>
      <c r="V30" s="15">
        <v>3.5</v>
      </c>
      <c r="W30" s="1">
        <v>0</v>
      </c>
      <c r="X30" s="1">
        <v>0</v>
      </c>
      <c r="Y30" s="38">
        <v>505</v>
      </c>
      <c r="Z30" s="1">
        <v>0</v>
      </c>
      <c r="AA30" s="38">
        <v>230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2">
        <v>0.5</v>
      </c>
      <c r="BA30" s="12">
        <v>5</v>
      </c>
      <c r="BB30" s="12">
        <v>1</v>
      </c>
      <c r="BC30" s="1">
        <v>0</v>
      </c>
      <c r="BD30" s="9">
        <v>0</v>
      </c>
      <c r="BE30" s="9">
        <f t="shared" si="0"/>
        <v>1000</v>
      </c>
    </row>
    <row r="31" spans="1:58" ht="15.75" customHeight="1">
      <c r="A31" s="25" t="s">
        <v>47</v>
      </c>
      <c r="B31" s="20">
        <v>180</v>
      </c>
      <c r="C31" s="20">
        <v>50</v>
      </c>
      <c r="D31" s="20">
        <v>70</v>
      </c>
      <c r="E31" s="37">
        <v>254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5">
        <v>1.5</v>
      </c>
      <c r="Q31" s="1">
        <v>0</v>
      </c>
      <c r="R31" s="1">
        <v>0</v>
      </c>
      <c r="S31" s="1">
        <v>0</v>
      </c>
      <c r="T31" s="15">
        <v>4</v>
      </c>
      <c r="U31" s="1">
        <v>0</v>
      </c>
      <c r="V31" s="15">
        <v>4</v>
      </c>
      <c r="W31" s="1">
        <v>0</v>
      </c>
      <c r="X31" s="1">
        <v>0</v>
      </c>
      <c r="Y31" s="38">
        <v>200</v>
      </c>
      <c r="Z31" s="1">
        <v>0</v>
      </c>
      <c r="AA31" s="38">
        <v>230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2">
        <v>0.5</v>
      </c>
      <c r="BA31" s="12">
        <v>5</v>
      </c>
      <c r="BB31" s="12">
        <v>1</v>
      </c>
      <c r="BC31" s="1">
        <v>0</v>
      </c>
      <c r="BD31" s="9">
        <v>0</v>
      </c>
      <c r="BE31" s="9">
        <f t="shared" si="0"/>
        <v>1000</v>
      </c>
    </row>
    <row r="32" spans="1:58" ht="15.75" customHeight="1">
      <c r="A32" s="33" t="s">
        <v>19</v>
      </c>
      <c r="B32" s="20">
        <v>90</v>
      </c>
      <c r="C32" s="20">
        <v>90</v>
      </c>
      <c r="D32" s="20">
        <v>50</v>
      </c>
      <c r="E32" s="37">
        <v>347.4</v>
      </c>
      <c r="F32" s="1">
        <v>0</v>
      </c>
      <c r="G32" s="1">
        <v>0</v>
      </c>
      <c r="H32" s="34"/>
      <c r="I32" s="37">
        <v>110</v>
      </c>
      <c r="J32" s="37">
        <v>150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5">
        <v>0.6</v>
      </c>
      <c r="S32" s="1">
        <v>0</v>
      </c>
      <c r="T32" s="1">
        <v>0</v>
      </c>
      <c r="U32" s="1">
        <v>0</v>
      </c>
      <c r="V32" s="15">
        <v>1.2</v>
      </c>
      <c r="W32" s="1">
        <v>0</v>
      </c>
      <c r="X32" s="1">
        <v>0</v>
      </c>
      <c r="Y32" s="1">
        <v>0</v>
      </c>
      <c r="Z32" s="1">
        <v>0</v>
      </c>
      <c r="AA32" s="38">
        <v>50</v>
      </c>
      <c r="AB32" s="1">
        <v>0</v>
      </c>
      <c r="AC32" s="1">
        <v>0</v>
      </c>
      <c r="AD32" s="38">
        <v>100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39">
        <v>5</v>
      </c>
      <c r="AY32" s="1">
        <v>0</v>
      </c>
      <c r="AZ32" s="12">
        <v>0.5</v>
      </c>
      <c r="BA32" s="12">
        <v>5</v>
      </c>
      <c r="BB32" s="12">
        <v>0.3</v>
      </c>
      <c r="BC32" s="1">
        <v>0</v>
      </c>
      <c r="BD32" s="9">
        <v>0</v>
      </c>
      <c r="BE32" s="9">
        <f t="shared" si="0"/>
        <v>1000</v>
      </c>
    </row>
    <row r="33" spans="1:57" ht="15.75" customHeight="1">
      <c r="A33" s="25" t="s">
        <v>24</v>
      </c>
      <c r="B33" s="20">
        <v>120</v>
      </c>
      <c r="C33" s="20">
        <v>60</v>
      </c>
      <c r="D33" s="20">
        <v>70</v>
      </c>
      <c r="E33" s="1">
        <v>0</v>
      </c>
      <c r="F33" s="1">
        <v>0</v>
      </c>
      <c r="G33" s="1">
        <v>0</v>
      </c>
      <c r="H33" s="37">
        <v>257.7</v>
      </c>
      <c r="I33" s="1">
        <v>0</v>
      </c>
      <c r="J33" s="37">
        <v>150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5">
        <v>0.4</v>
      </c>
      <c r="S33" s="1">
        <v>0</v>
      </c>
      <c r="T33" s="1">
        <v>0</v>
      </c>
      <c r="U33" s="1">
        <v>0</v>
      </c>
      <c r="V33" s="15">
        <v>0.4</v>
      </c>
      <c r="W33" s="1">
        <v>0</v>
      </c>
      <c r="X33" s="1">
        <v>0</v>
      </c>
      <c r="Y33" s="1">
        <v>0</v>
      </c>
      <c r="Z33" s="1">
        <v>0</v>
      </c>
      <c r="AA33" s="38">
        <v>160</v>
      </c>
      <c r="AB33" s="1">
        <v>0</v>
      </c>
      <c r="AC33" s="1">
        <v>0</v>
      </c>
      <c r="AD33" s="1">
        <v>0</v>
      </c>
      <c r="AE33" s="1">
        <v>0</v>
      </c>
      <c r="AF33" s="38">
        <v>160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39">
        <v>10</v>
      </c>
      <c r="AY33" s="1">
        <v>0</v>
      </c>
      <c r="AZ33" s="12">
        <v>0.5</v>
      </c>
      <c r="BA33" s="12">
        <v>10</v>
      </c>
      <c r="BB33" s="12">
        <v>1</v>
      </c>
      <c r="BC33" s="1">
        <v>0</v>
      </c>
      <c r="BD33" s="9">
        <v>0</v>
      </c>
      <c r="BE33" s="9">
        <f t="shared" si="0"/>
        <v>1000</v>
      </c>
    </row>
    <row r="34" spans="1:57" ht="15.75" customHeight="1">
      <c r="A34" s="25" t="s">
        <v>25</v>
      </c>
      <c r="B34" s="20">
        <v>140</v>
      </c>
      <c r="C34" s="20">
        <v>40</v>
      </c>
      <c r="D34" s="20">
        <v>70</v>
      </c>
      <c r="E34" s="1">
        <v>0</v>
      </c>
      <c r="F34" s="1">
        <v>0</v>
      </c>
      <c r="G34" s="1">
        <v>0</v>
      </c>
      <c r="H34" s="37">
        <v>267.3</v>
      </c>
      <c r="I34" s="1">
        <v>0</v>
      </c>
      <c r="J34" s="37">
        <v>150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5">
        <v>0.4</v>
      </c>
      <c r="S34" s="1">
        <v>0</v>
      </c>
      <c r="T34" s="1">
        <v>0</v>
      </c>
      <c r="U34" s="1">
        <v>0</v>
      </c>
      <c r="V34" s="15">
        <v>0.8</v>
      </c>
      <c r="W34" s="1">
        <v>0</v>
      </c>
      <c r="X34" s="1">
        <v>0</v>
      </c>
      <c r="Y34" s="1">
        <v>0</v>
      </c>
      <c r="Z34" s="1">
        <v>0</v>
      </c>
      <c r="AA34" s="38">
        <v>160</v>
      </c>
      <c r="AB34" s="1">
        <v>0</v>
      </c>
      <c r="AC34" s="1">
        <v>0</v>
      </c>
      <c r="AD34" s="1">
        <v>0</v>
      </c>
      <c r="AE34" s="1">
        <v>0</v>
      </c>
      <c r="AF34" s="38">
        <v>160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2">
        <v>0.5</v>
      </c>
      <c r="BA34" s="12">
        <v>10</v>
      </c>
      <c r="BB34" s="12">
        <v>1</v>
      </c>
      <c r="BC34" s="1">
        <v>0</v>
      </c>
      <c r="BD34" s="9">
        <v>0</v>
      </c>
      <c r="BE34" s="9">
        <f t="shared" si="0"/>
        <v>999.99999999999989</v>
      </c>
    </row>
    <row r="35" spans="1:57" ht="15.75" customHeight="1">
      <c r="A35" s="25" t="s">
        <v>226</v>
      </c>
      <c r="B35" s="20">
        <v>120</v>
      </c>
      <c r="C35" s="20">
        <v>60</v>
      </c>
      <c r="D35" s="20">
        <v>70</v>
      </c>
      <c r="E35" s="1">
        <v>0</v>
      </c>
      <c r="F35" s="1">
        <v>0</v>
      </c>
      <c r="G35" s="1">
        <v>0</v>
      </c>
      <c r="H35" s="37">
        <v>257.3</v>
      </c>
      <c r="I35" s="1">
        <v>0</v>
      </c>
      <c r="J35" s="37">
        <v>150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5">
        <v>0.3</v>
      </c>
      <c r="S35" s="15">
        <v>0.1</v>
      </c>
      <c r="T35" s="1">
        <v>0</v>
      </c>
      <c r="U35" s="1">
        <v>0</v>
      </c>
      <c r="V35" s="15">
        <v>0.8</v>
      </c>
      <c r="W35" s="1">
        <v>0</v>
      </c>
      <c r="X35" s="1">
        <v>0</v>
      </c>
      <c r="Y35" s="1">
        <v>0</v>
      </c>
      <c r="Z35" s="1">
        <v>0</v>
      </c>
      <c r="AA35" s="38">
        <v>160</v>
      </c>
      <c r="AB35" s="1">
        <v>0</v>
      </c>
      <c r="AC35" s="1">
        <v>0</v>
      </c>
      <c r="AD35" s="1">
        <v>0</v>
      </c>
      <c r="AE35" s="1">
        <v>0</v>
      </c>
      <c r="AF35" s="38">
        <v>160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39">
        <v>10</v>
      </c>
      <c r="AY35" s="1">
        <v>0</v>
      </c>
      <c r="AZ35" s="12">
        <v>0.5</v>
      </c>
      <c r="BA35" s="12">
        <v>10</v>
      </c>
      <c r="BB35" s="12">
        <v>1</v>
      </c>
      <c r="BC35" s="1">
        <v>0</v>
      </c>
      <c r="BD35" s="9">
        <v>0</v>
      </c>
      <c r="BE35" s="9">
        <f t="shared" si="0"/>
        <v>999.99999999999989</v>
      </c>
    </row>
    <row r="36" spans="1:57" ht="15.75" customHeight="1">
      <c r="A36" s="25" t="s">
        <v>26</v>
      </c>
      <c r="B36" s="20">
        <v>130</v>
      </c>
      <c r="C36" s="20">
        <v>70</v>
      </c>
      <c r="D36" s="20">
        <v>50</v>
      </c>
      <c r="E36" s="37">
        <v>442.8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5">
        <v>0.4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5">
        <v>1</v>
      </c>
      <c r="W36" s="1">
        <v>0</v>
      </c>
      <c r="X36" s="1">
        <v>0</v>
      </c>
      <c r="Y36" s="38">
        <v>250</v>
      </c>
      <c r="Z36" s="1">
        <v>0</v>
      </c>
      <c r="AA36" s="38">
        <v>50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2">
        <v>0.5</v>
      </c>
      <c r="BA36" s="12">
        <v>5</v>
      </c>
      <c r="BB36" s="12">
        <v>0.3</v>
      </c>
      <c r="BC36" s="1">
        <v>0</v>
      </c>
      <c r="BD36" s="9">
        <v>0</v>
      </c>
      <c r="BE36" s="9">
        <f t="shared" si="0"/>
        <v>999.99999999999989</v>
      </c>
    </row>
    <row r="37" spans="1:57" ht="15.75" customHeight="1">
      <c r="A37" s="4" t="s">
        <v>21</v>
      </c>
      <c r="B37" s="20">
        <v>130</v>
      </c>
      <c r="C37" s="20">
        <v>70</v>
      </c>
      <c r="D37" s="20">
        <v>50</v>
      </c>
      <c r="E37" s="37">
        <v>443.2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5">
        <v>0.3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5">
        <v>0.7</v>
      </c>
      <c r="W37" s="1">
        <v>0</v>
      </c>
      <c r="X37" s="1">
        <v>0</v>
      </c>
      <c r="Y37" s="38">
        <v>250</v>
      </c>
      <c r="Z37" s="1">
        <v>0</v>
      </c>
      <c r="AA37" s="38">
        <v>50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2">
        <v>0.5</v>
      </c>
      <c r="BA37" s="12">
        <v>5</v>
      </c>
      <c r="BB37" s="12">
        <v>0.3</v>
      </c>
      <c r="BC37" s="1">
        <v>0</v>
      </c>
      <c r="BD37" s="9">
        <v>0</v>
      </c>
      <c r="BE37" s="9">
        <f t="shared" si="0"/>
        <v>1000</v>
      </c>
    </row>
    <row r="38" spans="1:57" ht="15.75" customHeight="1">
      <c r="A38" s="25" t="s">
        <v>27</v>
      </c>
      <c r="B38" s="20">
        <v>120</v>
      </c>
      <c r="C38" s="20">
        <v>80</v>
      </c>
      <c r="D38" s="20">
        <v>50</v>
      </c>
      <c r="E38" s="37">
        <v>442.8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5">
        <v>0.4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5">
        <v>1</v>
      </c>
      <c r="W38" s="1">
        <v>0</v>
      </c>
      <c r="X38" s="1">
        <v>0</v>
      </c>
      <c r="Y38" s="38">
        <v>180</v>
      </c>
      <c r="Z38" s="1">
        <v>0</v>
      </c>
      <c r="AA38" s="1">
        <v>0</v>
      </c>
      <c r="AB38" s="1">
        <v>0</v>
      </c>
      <c r="AC38" s="38">
        <v>120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2">
        <v>0.5</v>
      </c>
      <c r="BA38" s="12">
        <v>5</v>
      </c>
      <c r="BB38" s="12">
        <v>0.3</v>
      </c>
      <c r="BC38" s="1">
        <v>0</v>
      </c>
      <c r="BD38" s="9">
        <v>0</v>
      </c>
      <c r="BE38" s="9">
        <f t="shared" si="0"/>
        <v>999.99999999999989</v>
      </c>
    </row>
    <row r="39" spans="1:57" ht="15.75" customHeight="1">
      <c r="A39" s="25" t="s">
        <v>28</v>
      </c>
      <c r="B39" s="20">
        <v>180</v>
      </c>
      <c r="C39" s="1">
        <v>0</v>
      </c>
      <c r="D39" s="20">
        <v>70</v>
      </c>
      <c r="E39" s="1">
        <v>0</v>
      </c>
      <c r="F39" s="1">
        <v>0</v>
      </c>
      <c r="G39" s="37">
        <v>170</v>
      </c>
      <c r="H39" s="1">
        <v>0</v>
      </c>
      <c r="I39" s="1">
        <v>0</v>
      </c>
      <c r="J39" s="37">
        <v>100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5">
        <v>0.2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5">
        <v>0.5</v>
      </c>
      <c r="W39" s="1">
        <v>0</v>
      </c>
      <c r="X39" s="1">
        <v>0</v>
      </c>
      <c r="Y39" s="38">
        <v>222.8</v>
      </c>
      <c r="Z39" s="1">
        <v>0</v>
      </c>
      <c r="AA39" s="1">
        <v>0</v>
      </c>
      <c r="AB39" s="1">
        <v>0</v>
      </c>
      <c r="AC39" s="1">
        <v>0</v>
      </c>
      <c r="AD39" s="38">
        <v>250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2">
        <v>0.5</v>
      </c>
      <c r="BA39" s="12">
        <v>5</v>
      </c>
      <c r="BB39" s="12">
        <v>1</v>
      </c>
      <c r="BC39" s="1">
        <v>0</v>
      </c>
      <c r="BD39" s="9">
        <v>0</v>
      </c>
      <c r="BE39" s="9">
        <f t="shared" si="0"/>
        <v>1000</v>
      </c>
    </row>
    <row r="40" spans="1:57" ht="15.75" customHeight="1">
      <c r="A40" s="25" t="s">
        <v>29</v>
      </c>
      <c r="B40" s="20">
        <v>180</v>
      </c>
      <c r="C40" s="1">
        <v>0</v>
      </c>
      <c r="D40" s="20">
        <v>70</v>
      </c>
      <c r="E40" s="1">
        <v>0</v>
      </c>
      <c r="F40" s="1">
        <v>0</v>
      </c>
      <c r="G40" s="37">
        <v>170</v>
      </c>
      <c r="H40" s="1">
        <v>0</v>
      </c>
      <c r="I40" s="1">
        <v>0</v>
      </c>
      <c r="J40" s="37">
        <v>100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5">
        <v>0.4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5">
        <v>0.7</v>
      </c>
      <c r="W40" s="1">
        <v>0</v>
      </c>
      <c r="X40" s="1">
        <v>0</v>
      </c>
      <c r="Y40" s="38">
        <v>222.4</v>
      </c>
      <c r="Z40" s="1">
        <v>0</v>
      </c>
      <c r="AA40" s="1">
        <v>0</v>
      </c>
      <c r="AB40" s="1">
        <v>0</v>
      </c>
      <c r="AC40" s="1">
        <v>0</v>
      </c>
      <c r="AD40" s="38">
        <v>250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2">
        <v>0.5</v>
      </c>
      <c r="BA40" s="12">
        <v>5</v>
      </c>
      <c r="BB40" s="12">
        <v>1</v>
      </c>
      <c r="BC40" s="1">
        <v>0</v>
      </c>
      <c r="BD40" s="9">
        <v>0</v>
      </c>
      <c r="BE40" s="9">
        <f t="shared" si="0"/>
        <v>1000</v>
      </c>
    </row>
    <row r="41" spans="1:57" ht="15.75" customHeight="1">
      <c r="A41" s="25" t="s">
        <v>30</v>
      </c>
      <c r="B41" s="20">
        <v>180</v>
      </c>
      <c r="C41" s="1">
        <v>0</v>
      </c>
      <c r="D41" s="20">
        <v>70</v>
      </c>
      <c r="E41" s="1">
        <v>0</v>
      </c>
      <c r="F41" s="1">
        <v>0</v>
      </c>
      <c r="G41" s="37">
        <v>170</v>
      </c>
      <c r="H41" s="1">
        <v>0</v>
      </c>
      <c r="I41" s="1">
        <v>0</v>
      </c>
      <c r="J41" s="37">
        <v>100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5">
        <v>0.5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5">
        <v>1</v>
      </c>
      <c r="W41" s="1">
        <v>0</v>
      </c>
      <c r="X41" s="1">
        <v>0</v>
      </c>
      <c r="Y41" s="38">
        <v>222</v>
      </c>
      <c r="Z41" s="1">
        <v>0</v>
      </c>
      <c r="AA41" s="1">
        <v>0</v>
      </c>
      <c r="AB41" s="1">
        <v>0</v>
      </c>
      <c r="AC41" s="1">
        <v>0</v>
      </c>
      <c r="AD41" s="38">
        <v>250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2">
        <v>0.5</v>
      </c>
      <c r="BA41" s="12">
        <v>5</v>
      </c>
      <c r="BB41" s="12">
        <v>1</v>
      </c>
      <c r="BC41" s="1">
        <v>0</v>
      </c>
      <c r="BD41" s="9">
        <v>0</v>
      </c>
      <c r="BE41" s="9">
        <f t="shared" si="0"/>
        <v>1000</v>
      </c>
    </row>
    <row r="42" spans="1:57" ht="15.75" customHeight="1">
      <c r="A42" s="25" t="s">
        <v>31</v>
      </c>
      <c r="B42" s="20">
        <v>180</v>
      </c>
      <c r="C42" s="1">
        <v>0</v>
      </c>
      <c r="D42" s="20">
        <v>70</v>
      </c>
      <c r="E42" s="37">
        <v>392.4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5">
        <v>0.4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5">
        <v>0.7</v>
      </c>
      <c r="W42" s="1">
        <v>0</v>
      </c>
      <c r="X42" s="1">
        <v>0</v>
      </c>
      <c r="Y42" s="38">
        <v>300</v>
      </c>
      <c r="Z42" s="1">
        <v>0</v>
      </c>
      <c r="AA42" s="38">
        <v>50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2">
        <v>0.5</v>
      </c>
      <c r="BA42" s="12">
        <v>5</v>
      </c>
      <c r="BB42" s="12">
        <v>1</v>
      </c>
      <c r="BC42" s="1">
        <v>0</v>
      </c>
      <c r="BD42" s="9">
        <v>0</v>
      </c>
      <c r="BE42" s="9">
        <f t="shared" si="0"/>
        <v>1000</v>
      </c>
    </row>
    <row r="43" spans="1:57" ht="15.75" customHeight="1">
      <c r="A43" s="25" t="s">
        <v>32</v>
      </c>
      <c r="B43" s="1">
        <v>0</v>
      </c>
      <c r="C43" s="20">
        <v>180</v>
      </c>
      <c r="D43" s="20">
        <v>70</v>
      </c>
      <c r="E43" s="37">
        <v>393.1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5">
        <v>0.4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38">
        <v>300</v>
      </c>
      <c r="Z43" s="1">
        <v>0</v>
      </c>
      <c r="AA43" s="38">
        <v>50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2">
        <v>0.5</v>
      </c>
      <c r="BA43" s="12">
        <v>5</v>
      </c>
      <c r="BB43" s="12">
        <v>1</v>
      </c>
      <c r="BC43" s="1">
        <v>0</v>
      </c>
      <c r="BD43" s="9">
        <v>0</v>
      </c>
      <c r="BE43" s="9">
        <f t="shared" si="0"/>
        <v>1000</v>
      </c>
    </row>
    <row r="44" spans="1:57" ht="15.75" customHeight="1">
      <c r="A44" s="25" t="s">
        <v>33</v>
      </c>
      <c r="B44" s="24">
        <v>50</v>
      </c>
      <c r="C44" s="20">
        <v>130</v>
      </c>
      <c r="D44" s="20">
        <v>50</v>
      </c>
      <c r="E44" s="37">
        <v>532.70000000000005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5">
        <v>1.5</v>
      </c>
      <c r="W44" s="1">
        <v>0</v>
      </c>
      <c r="X44" s="1">
        <v>0</v>
      </c>
      <c r="Y44" s="8"/>
      <c r="Z44" s="1">
        <v>0</v>
      </c>
      <c r="AA44" s="38">
        <v>100</v>
      </c>
      <c r="AB44" s="1">
        <v>0</v>
      </c>
      <c r="AC44" s="1">
        <v>0</v>
      </c>
      <c r="AD44" s="38">
        <v>30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38">
        <v>100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2">
        <v>0.5</v>
      </c>
      <c r="BA44" s="12">
        <v>5</v>
      </c>
      <c r="BB44" s="12">
        <v>0.3</v>
      </c>
      <c r="BC44" s="1">
        <v>0</v>
      </c>
      <c r="BD44" s="9">
        <v>0</v>
      </c>
      <c r="BE44" s="9">
        <f t="shared" si="0"/>
        <v>1000</v>
      </c>
    </row>
    <row r="45" spans="1:57" s="40" customFormat="1" ht="15.75" customHeight="1">
      <c r="A45" s="41" t="s">
        <v>62</v>
      </c>
      <c r="B45" s="20">
        <v>160</v>
      </c>
      <c r="C45" s="20">
        <v>40</v>
      </c>
      <c r="D45" s="1">
        <v>0</v>
      </c>
      <c r="E45" s="37">
        <v>337.3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37">
        <v>250</v>
      </c>
      <c r="M45" s="1">
        <v>0</v>
      </c>
      <c r="N45" s="1">
        <v>0</v>
      </c>
      <c r="O45" s="1">
        <v>0</v>
      </c>
      <c r="P45" s="15">
        <v>0.5</v>
      </c>
      <c r="Q45" s="1">
        <v>0</v>
      </c>
      <c r="R45" s="1">
        <v>0</v>
      </c>
      <c r="S45" s="1">
        <v>0</v>
      </c>
      <c r="T45" s="15">
        <v>0.2</v>
      </c>
      <c r="U45" s="1">
        <v>0</v>
      </c>
      <c r="V45" s="1">
        <v>0</v>
      </c>
      <c r="W45" s="1">
        <v>0</v>
      </c>
      <c r="X45" s="1">
        <v>0</v>
      </c>
      <c r="Y45" s="38">
        <v>200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2">
        <v>7</v>
      </c>
      <c r="BB45" s="1">
        <v>0</v>
      </c>
      <c r="BC45" s="1">
        <v>0</v>
      </c>
      <c r="BD45" s="39">
        <v>5</v>
      </c>
      <c r="BE45" s="9">
        <f t="shared" si="0"/>
        <v>1000</v>
      </c>
    </row>
    <row r="46" spans="1:57" ht="15.75" customHeight="1">
      <c r="A46" s="25" t="s">
        <v>34</v>
      </c>
      <c r="B46" s="20">
        <v>52</v>
      </c>
      <c r="C46" s="20">
        <v>132</v>
      </c>
      <c r="D46" s="20">
        <v>48</v>
      </c>
      <c r="E46" s="37">
        <v>531.20000000000005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5">
        <v>1</v>
      </c>
      <c r="W46" s="1">
        <v>0</v>
      </c>
      <c r="X46" s="1">
        <v>0</v>
      </c>
      <c r="Y46" s="8"/>
      <c r="Z46" s="1">
        <v>0</v>
      </c>
      <c r="AA46" s="38">
        <v>100</v>
      </c>
      <c r="AB46" s="1">
        <v>0</v>
      </c>
      <c r="AC46" s="1">
        <v>0</v>
      </c>
      <c r="AD46" s="38">
        <v>30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38">
        <v>100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2">
        <v>0.5</v>
      </c>
      <c r="BA46" s="12">
        <v>5</v>
      </c>
      <c r="BB46" s="12">
        <v>0.3</v>
      </c>
      <c r="BC46" s="1">
        <v>0</v>
      </c>
      <c r="BD46" s="9">
        <v>0</v>
      </c>
      <c r="BE46" s="9">
        <f t="shared" si="0"/>
        <v>1000</v>
      </c>
    </row>
    <row r="47" spans="1:57" ht="15.75" customHeight="1">
      <c r="A47" s="25" t="s">
        <v>35</v>
      </c>
      <c r="B47" s="20">
        <v>80</v>
      </c>
      <c r="C47" s="20">
        <v>120</v>
      </c>
      <c r="D47" s="20">
        <v>50</v>
      </c>
      <c r="E47" s="37">
        <v>301.10000000000002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5">
        <v>0.6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5">
        <v>1.8</v>
      </c>
      <c r="W47" s="1">
        <v>0</v>
      </c>
      <c r="X47" s="1">
        <v>0</v>
      </c>
      <c r="Y47" s="38">
        <v>100</v>
      </c>
      <c r="Z47" s="1">
        <v>0</v>
      </c>
      <c r="AA47" s="38">
        <v>230</v>
      </c>
      <c r="AB47" s="1">
        <v>0</v>
      </c>
      <c r="AC47" s="1">
        <v>0</v>
      </c>
      <c r="AD47" s="38">
        <v>110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2">
        <v>0.5</v>
      </c>
      <c r="BA47" s="12">
        <v>5</v>
      </c>
      <c r="BB47" s="12">
        <v>1</v>
      </c>
      <c r="BC47" s="1">
        <v>0</v>
      </c>
      <c r="BD47" s="9">
        <v>0</v>
      </c>
      <c r="BE47" s="9">
        <f t="shared" si="0"/>
        <v>1000</v>
      </c>
    </row>
    <row r="48" spans="1:57" ht="15.75" customHeight="1">
      <c r="A48" s="25" t="s">
        <v>36</v>
      </c>
      <c r="B48" s="20">
        <v>80</v>
      </c>
      <c r="C48" s="20">
        <v>120</v>
      </c>
      <c r="D48" s="20">
        <v>50</v>
      </c>
      <c r="E48" s="37">
        <v>300.3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5">
        <v>0.8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5">
        <v>2.4</v>
      </c>
      <c r="W48" s="1">
        <v>0</v>
      </c>
      <c r="X48" s="1">
        <v>0</v>
      </c>
      <c r="Y48" s="38">
        <v>100</v>
      </c>
      <c r="Z48" s="1">
        <v>0</v>
      </c>
      <c r="AA48" s="38">
        <v>230</v>
      </c>
      <c r="AB48" s="1">
        <v>0</v>
      </c>
      <c r="AC48" s="1">
        <v>0</v>
      </c>
      <c r="AD48" s="38">
        <v>110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2">
        <v>0.5</v>
      </c>
      <c r="BA48" s="12">
        <v>5</v>
      </c>
      <c r="BB48" s="12">
        <v>1</v>
      </c>
      <c r="BC48" s="1">
        <v>0</v>
      </c>
      <c r="BD48" s="9">
        <v>0</v>
      </c>
      <c r="BE48" s="9">
        <f t="shared" si="0"/>
        <v>999.99999999999989</v>
      </c>
    </row>
    <row r="49" spans="1:57" ht="15.75" customHeight="1">
      <c r="A49" s="25" t="s">
        <v>37</v>
      </c>
      <c r="B49" s="20">
        <v>80</v>
      </c>
      <c r="C49" s="20">
        <v>120</v>
      </c>
      <c r="D49" s="20">
        <v>50</v>
      </c>
      <c r="E49" s="37">
        <v>540.79999999999995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5">
        <v>0.8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5">
        <v>2.4</v>
      </c>
      <c r="W49" s="38">
        <v>100</v>
      </c>
      <c r="X49" s="1">
        <v>0</v>
      </c>
      <c r="Y49" s="38">
        <v>100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2">
        <v>0.5</v>
      </c>
      <c r="BA49" s="12">
        <v>5</v>
      </c>
      <c r="BB49" s="12">
        <v>0.5</v>
      </c>
      <c r="BC49" s="1">
        <v>0</v>
      </c>
      <c r="BD49" s="9">
        <v>0</v>
      </c>
      <c r="BE49" s="9">
        <f t="shared" si="0"/>
        <v>999.99999999999989</v>
      </c>
    </row>
    <row r="50" spans="1:57" ht="15.75" customHeight="1">
      <c r="A50" s="25" t="s">
        <v>38</v>
      </c>
      <c r="B50" s="20">
        <v>70</v>
      </c>
      <c r="C50" s="20">
        <v>110</v>
      </c>
      <c r="D50" s="20">
        <v>50</v>
      </c>
      <c r="E50" s="37">
        <v>184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37">
        <v>230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38">
        <v>100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38">
        <v>250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2">
        <v>0.5</v>
      </c>
      <c r="BA50" s="12">
        <v>5</v>
      </c>
      <c r="BB50" s="12">
        <v>0.5</v>
      </c>
      <c r="BC50" s="1">
        <v>0</v>
      </c>
      <c r="BD50" s="9">
        <v>0</v>
      </c>
      <c r="BE50" s="9">
        <f t="shared" si="0"/>
        <v>1000</v>
      </c>
    </row>
    <row r="51" spans="1:57" ht="15.75" customHeight="1">
      <c r="A51" s="25" t="s">
        <v>39</v>
      </c>
      <c r="B51" s="20">
        <v>130</v>
      </c>
      <c r="C51" s="20">
        <v>50</v>
      </c>
      <c r="D51" s="20">
        <v>50</v>
      </c>
      <c r="E51" s="37">
        <v>498.2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38">
        <v>175</v>
      </c>
      <c r="AL51" s="1">
        <v>0</v>
      </c>
      <c r="AM51" s="38">
        <v>90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2">
        <v>0.8</v>
      </c>
      <c r="BA51" s="12">
        <v>5</v>
      </c>
      <c r="BB51" s="12">
        <v>1</v>
      </c>
      <c r="BC51" s="1">
        <v>0</v>
      </c>
      <c r="BD51" s="9">
        <v>0</v>
      </c>
      <c r="BE51" s="9">
        <f t="shared" si="0"/>
        <v>1000</v>
      </c>
    </row>
    <row r="52" spans="1:57" ht="15.75" customHeight="1">
      <c r="A52" s="25" t="s">
        <v>40</v>
      </c>
      <c r="B52" s="20">
        <v>130</v>
      </c>
      <c r="C52" s="20">
        <v>50</v>
      </c>
      <c r="D52" s="20">
        <v>50</v>
      </c>
      <c r="E52" s="37">
        <v>498.2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38">
        <v>265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2">
        <v>0.8</v>
      </c>
      <c r="BA52" s="12">
        <v>5</v>
      </c>
      <c r="BB52" s="12">
        <v>1</v>
      </c>
      <c r="BC52" s="1">
        <v>0</v>
      </c>
      <c r="BD52" s="9">
        <v>0</v>
      </c>
      <c r="BE52" s="9">
        <f t="shared" si="0"/>
        <v>1000</v>
      </c>
    </row>
    <row r="53" spans="1:57" s="40" customFormat="1" ht="15.75" customHeight="1">
      <c r="A53" s="36" t="s">
        <v>63</v>
      </c>
      <c r="B53" s="20">
        <v>100</v>
      </c>
      <c r="C53" s="20">
        <v>100</v>
      </c>
      <c r="D53" s="1">
        <v>0</v>
      </c>
      <c r="E53" s="37">
        <v>498.5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5">
        <v>0.5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38">
        <v>200</v>
      </c>
      <c r="AA53" s="1">
        <v>0</v>
      </c>
      <c r="AB53" s="1">
        <v>0</v>
      </c>
      <c r="AC53" s="1">
        <v>0</v>
      </c>
      <c r="AD53" s="39">
        <v>100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2">
        <v>1</v>
      </c>
      <c r="BA53" s="1">
        <v>0</v>
      </c>
      <c r="BB53" s="1">
        <v>0</v>
      </c>
      <c r="BC53" s="1">
        <v>0</v>
      </c>
      <c r="BD53" s="9">
        <v>0</v>
      </c>
      <c r="BE53" s="9">
        <f t="shared" si="0"/>
        <v>1000</v>
      </c>
    </row>
    <row r="54" spans="1:57" s="40" customFormat="1" ht="15.75" customHeight="1">
      <c r="A54" s="36" t="s">
        <v>64</v>
      </c>
      <c r="B54" s="20">
        <v>180</v>
      </c>
      <c r="C54" s="20">
        <v>40</v>
      </c>
      <c r="D54" s="20">
        <v>70</v>
      </c>
      <c r="E54" s="37">
        <v>547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5">
        <v>2</v>
      </c>
      <c r="Q54" s="1">
        <v>0</v>
      </c>
      <c r="R54" s="1">
        <v>0</v>
      </c>
      <c r="S54" s="1">
        <v>0</v>
      </c>
      <c r="T54" s="15">
        <v>2.5</v>
      </c>
      <c r="U54" s="1">
        <v>0</v>
      </c>
      <c r="V54" s="15">
        <v>2.5</v>
      </c>
      <c r="W54" s="1">
        <v>0</v>
      </c>
      <c r="X54" s="38">
        <v>150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2">
        <v>0.5</v>
      </c>
      <c r="BA54" s="12">
        <v>5.5</v>
      </c>
      <c r="BB54" s="1">
        <v>0</v>
      </c>
      <c r="BC54" s="1">
        <v>0</v>
      </c>
      <c r="BD54" s="9">
        <v>0</v>
      </c>
      <c r="BE54" s="9">
        <f t="shared" si="0"/>
        <v>1000</v>
      </c>
    </row>
    <row r="55" spans="1:57" s="40" customFormat="1" ht="15.75" customHeight="1">
      <c r="A55" s="36" t="s">
        <v>65</v>
      </c>
      <c r="B55" s="20">
        <v>80</v>
      </c>
      <c r="C55" s="20">
        <v>120</v>
      </c>
      <c r="D55" s="20">
        <v>70</v>
      </c>
      <c r="E55" s="37">
        <v>250</v>
      </c>
      <c r="F55" s="1">
        <v>0</v>
      </c>
      <c r="G55" s="1">
        <v>0</v>
      </c>
      <c r="H55" s="1">
        <v>0</v>
      </c>
      <c r="I55" s="37">
        <v>107</v>
      </c>
      <c r="J55" s="1">
        <v>0</v>
      </c>
      <c r="K55" s="1">
        <v>0</v>
      </c>
      <c r="L55" s="37">
        <v>100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38">
        <v>200</v>
      </c>
      <c r="AB55" s="1">
        <v>0</v>
      </c>
      <c r="AC55" s="1">
        <v>0</v>
      </c>
      <c r="AD55" s="39">
        <v>50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39">
        <v>15</v>
      </c>
      <c r="AY55" s="1">
        <v>0</v>
      </c>
      <c r="AZ55" s="12">
        <v>1</v>
      </c>
      <c r="BA55" s="12">
        <v>7</v>
      </c>
      <c r="BB55" s="1">
        <v>0</v>
      </c>
      <c r="BC55" s="1">
        <v>0</v>
      </c>
      <c r="BD55" s="9">
        <v>0</v>
      </c>
      <c r="BE55" s="9">
        <f t="shared" si="0"/>
        <v>1000</v>
      </c>
    </row>
    <row r="56" spans="1:57" s="40" customFormat="1" ht="15.75" customHeight="1">
      <c r="A56" s="36" t="s">
        <v>66</v>
      </c>
      <c r="B56" s="1">
        <v>0</v>
      </c>
      <c r="C56" s="20">
        <v>280</v>
      </c>
      <c r="D56" s="1">
        <v>0</v>
      </c>
      <c r="E56" s="37">
        <v>352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5">
        <v>2</v>
      </c>
      <c r="T56" s="1">
        <v>0</v>
      </c>
      <c r="U56" s="1">
        <v>0</v>
      </c>
      <c r="V56" s="15">
        <v>10</v>
      </c>
      <c r="W56" s="1">
        <v>0</v>
      </c>
      <c r="X56" s="1">
        <v>0</v>
      </c>
      <c r="Y56" s="38">
        <v>175</v>
      </c>
      <c r="Z56" s="1">
        <v>0</v>
      </c>
      <c r="AA56" s="1">
        <v>0</v>
      </c>
      <c r="AB56" s="1">
        <v>0</v>
      </c>
      <c r="AC56" s="1">
        <v>0</v>
      </c>
      <c r="AD56" s="39">
        <v>175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2">
        <v>1</v>
      </c>
      <c r="BA56" s="12">
        <v>5</v>
      </c>
      <c r="BB56" s="1">
        <v>0</v>
      </c>
      <c r="BC56" s="1">
        <v>0</v>
      </c>
      <c r="BD56" s="9">
        <v>0</v>
      </c>
      <c r="BE56" s="9">
        <f t="shared" si="0"/>
        <v>1000</v>
      </c>
    </row>
    <row r="57" spans="1:57" s="40" customFormat="1" ht="15.75" customHeight="1">
      <c r="A57" s="36" t="s">
        <v>67</v>
      </c>
      <c r="B57" s="20">
        <v>200</v>
      </c>
      <c r="C57" s="20">
        <v>20</v>
      </c>
      <c r="D57" s="1">
        <v>0</v>
      </c>
      <c r="E57" s="37">
        <v>220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37">
        <v>300</v>
      </c>
      <c r="M57" s="1">
        <v>0</v>
      </c>
      <c r="N57" s="15">
        <v>0.15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38">
        <v>250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39">
        <v>2</v>
      </c>
      <c r="AY57" s="1">
        <v>0</v>
      </c>
      <c r="AZ57" s="12">
        <v>1</v>
      </c>
      <c r="BA57" s="12">
        <v>6.85</v>
      </c>
      <c r="BB57" s="1">
        <v>0</v>
      </c>
      <c r="BC57" s="1">
        <v>0</v>
      </c>
      <c r="BD57" s="9">
        <v>0</v>
      </c>
      <c r="BE57" s="9">
        <f t="shared" si="0"/>
        <v>1000</v>
      </c>
    </row>
    <row r="58" spans="1:57" s="40" customFormat="1" ht="15.75" customHeight="1">
      <c r="A58" s="36" t="s">
        <v>68</v>
      </c>
      <c r="B58" s="20">
        <v>200</v>
      </c>
      <c r="C58" s="20">
        <v>20</v>
      </c>
      <c r="D58" s="1">
        <v>0</v>
      </c>
      <c r="E58" s="37">
        <v>230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37">
        <v>300</v>
      </c>
      <c r="M58" s="1">
        <v>0</v>
      </c>
      <c r="N58" s="15">
        <v>0.15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38">
        <v>240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39">
        <v>2</v>
      </c>
      <c r="AY58" s="1">
        <v>0</v>
      </c>
      <c r="AZ58" s="12">
        <v>1</v>
      </c>
      <c r="BA58" s="12">
        <v>6.85</v>
      </c>
      <c r="BB58" s="1">
        <v>0</v>
      </c>
      <c r="BC58" s="1">
        <v>0</v>
      </c>
      <c r="BD58" s="9">
        <v>0</v>
      </c>
      <c r="BE58" s="9">
        <f t="shared" si="0"/>
        <v>1000</v>
      </c>
    </row>
    <row r="59" spans="1:57" s="40" customFormat="1" ht="15.75" customHeight="1">
      <c r="A59" s="36" t="s">
        <v>69</v>
      </c>
      <c r="B59" s="20">
        <v>200</v>
      </c>
      <c r="C59" s="1">
        <v>0</v>
      </c>
      <c r="D59" s="1">
        <v>0</v>
      </c>
      <c r="E59" s="37">
        <v>240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37">
        <v>300</v>
      </c>
      <c r="M59" s="1">
        <v>0</v>
      </c>
      <c r="N59" s="15">
        <v>0.15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38">
        <v>250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39">
        <v>2</v>
      </c>
      <c r="AY59" s="1">
        <v>0</v>
      </c>
      <c r="AZ59" s="12">
        <v>1</v>
      </c>
      <c r="BA59" s="12">
        <v>6.85</v>
      </c>
      <c r="BB59" s="1">
        <v>0</v>
      </c>
      <c r="BC59" s="1">
        <v>0</v>
      </c>
      <c r="BD59" s="9">
        <v>0</v>
      </c>
      <c r="BE59" s="9">
        <f t="shared" si="0"/>
        <v>1000</v>
      </c>
    </row>
    <row r="60" spans="1:57" s="40" customFormat="1" ht="15.75" customHeight="1">
      <c r="A60" s="36" t="s">
        <v>70</v>
      </c>
      <c r="B60" s="1">
        <v>0</v>
      </c>
      <c r="C60" s="20">
        <v>250</v>
      </c>
      <c r="D60" s="1">
        <v>0</v>
      </c>
      <c r="E60" s="37">
        <v>239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37">
        <v>200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5">
        <v>3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38">
        <v>300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2">
        <v>1</v>
      </c>
      <c r="BA60" s="12">
        <v>7</v>
      </c>
      <c r="BB60" s="1">
        <v>0</v>
      </c>
      <c r="BC60" s="1">
        <v>0</v>
      </c>
      <c r="BD60" s="9">
        <v>0</v>
      </c>
      <c r="BE60" s="9">
        <f t="shared" si="0"/>
        <v>1000</v>
      </c>
    </row>
    <row r="61" spans="1:57" s="40" customFormat="1" ht="16.25" customHeight="1">
      <c r="A61" s="36" t="s">
        <v>71</v>
      </c>
      <c r="B61" s="20">
        <v>75</v>
      </c>
      <c r="C61" s="20">
        <v>175</v>
      </c>
      <c r="D61" s="1">
        <v>0</v>
      </c>
      <c r="E61" s="37">
        <v>315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37">
        <v>200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5">
        <v>2</v>
      </c>
      <c r="W61" s="1">
        <v>0</v>
      </c>
      <c r="X61" s="1">
        <v>0</v>
      </c>
      <c r="Y61" s="38">
        <v>100</v>
      </c>
      <c r="Z61" s="1">
        <v>0</v>
      </c>
      <c r="AA61" s="38">
        <v>125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2">
        <v>1</v>
      </c>
      <c r="BA61" s="12">
        <v>7</v>
      </c>
      <c r="BB61" s="1">
        <v>0</v>
      </c>
      <c r="BC61" s="1">
        <v>0</v>
      </c>
      <c r="BD61" s="9">
        <v>0</v>
      </c>
      <c r="BE61" s="9">
        <f t="shared" si="0"/>
        <v>1000</v>
      </c>
    </row>
    <row r="62" spans="1:57" s="40" customFormat="1" ht="16.25" customHeight="1">
      <c r="A62" s="36" t="s">
        <v>72</v>
      </c>
      <c r="B62" s="20">
        <v>200</v>
      </c>
      <c r="C62" s="1">
        <v>0</v>
      </c>
      <c r="D62" s="1">
        <v>0</v>
      </c>
      <c r="E62" s="37">
        <v>242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37">
        <v>200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5">
        <v>10</v>
      </c>
      <c r="U62" s="15">
        <v>10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38">
        <v>115</v>
      </c>
      <c r="AB62" s="38">
        <v>215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2">
        <v>1</v>
      </c>
      <c r="BA62" s="12">
        <v>7</v>
      </c>
      <c r="BB62" s="1">
        <v>0</v>
      </c>
      <c r="BC62" s="1">
        <v>0</v>
      </c>
      <c r="BD62" s="9">
        <v>0</v>
      </c>
      <c r="BE62" s="9">
        <f t="shared" si="0"/>
        <v>1000</v>
      </c>
    </row>
    <row r="63" spans="1:57" s="40" customFormat="1" ht="16.25" customHeight="1">
      <c r="A63" s="36" t="s">
        <v>73</v>
      </c>
      <c r="B63" s="1">
        <v>0</v>
      </c>
      <c r="C63" s="20">
        <v>250</v>
      </c>
      <c r="D63" s="20">
        <v>50</v>
      </c>
      <c r="E63" s="37">
        <v>237.6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37">
        <v>250</v>
      </c>
      <c r="L63" s="37">
        <v>200</v>
      </c>
      <c r="M63" s="1">
        <v>0</v>
      </c>
      <c r="N63" s="1">
        <v>0</v>
      </c>
      <c r="O63" s="1">
        <v>0</v>
      </c>
      <c r="P63" s="15">
        <v>0.7</v>
      </c>
      <c r="Q63" s="1">
        <v>0</v>
      </c>
      <c r="R63" s="1">
        <v>0</v>
      </c>
      <c r="S63" s="1">
        <v>0</v>
      </c>
      <c r="T63" s="15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39">
        <v>5</v>
      </c>
      <c r="AY63" s="1">
        <v>0</v>
      </c>
      <c r="AZ63" s="12">
        <v>0.7</v>
      </c>
      <c r="BA63" s="12">
        <v>5</v>
      </c>
      <c r="BB63" s="1">
        <v>0</v>
      </c>
      <c r="BC63" s="1">
        <v>0</v>
      </c>
      <c r="BD63" s="9">
        <v>0</v>
      </c>
      <c r="BE63" s="9">
        <f t="shared" si="0"/>
        <v>1000.0000000000001</v>
      </c>
    </row>
    <row r="64" spans="1:57" s="40" customFormat="1" ht="16.25" customHeight="1">
      <c r="A64" s="36" t="s">
        <v>74</v>
      </c>
      <c r="B64" s="1">
        <v>0</v>
      </c>
      <c r="C64" s="20">
        <v>250</v>
      </c>
      <c r="D64" s="20">
        <v>50</v>
      </c>
      <c r="E64" s="37">
        <v>203</v>
      </c>
      <c r="F64" s="1">
        <v>0</v>
      </c>
      <c r="G64" s="1">
        <v>0</v>
      </c>
      <c r="H64" s="1">
        <v>0</v>
      </c>
      <c r="I64" s="37">
        <v>150</v>
      </c>
      <c r="J64" s="1">
        <v>0</v>
      </c>
      <c r="K64" s="1">
        <v>0</v>
      </c>
      <c r="L64" s="37">
        <v>200</v>
      </c>
      <c r="M64" s="1">
        <v>0</v>
      </c>
      <c r="N64" s="1">
        <v>0</v>
      </c>
      <c r="O64" s="1">
        <v>0</v>
      </c>
      <c r="P64" s="15">
        <v>0.7</v>
      </c>
      <c r="Q64" s="1">
        <v>0</v>
      </c>
      <c r="R64" s="1">
        <v>0</v>
      </c>
      <c r="S64" s="1">
        <v>0</v>
      </c>
      <c r="T64" s="15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39">
        <v>137.6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39">
        <v>2</v>
      </c>
      <c r="AY64" s="1">
        <v>0</v>
      </c>
      <c r="AZ64" s="12">
        <v>0.7</v>
      </c>
      <c r="BA64" s="12">
        <v>5</v>
      </c>
      <c r="BB64" s="1">
        <v>0</v>
      </c>
      <c r="BC64" s="1">
        <v>0</v>
      </c>
      <c r="BD64" s="9">
        <v>0</v>
      </c>
      <c r="BE64" s="9">
        <f t="shared" si="0"/>
        <v>1000.0000000000001</v>
      </c>
    </row>
    <row r="65" spans="1:57" s="40" customFormat="1" ht="16.25" customHeight="1">
      <c r="A65" s="36" t="s">
        <v>75</v>
      </c>
      <c r="B65" s="1">
        <v>0</v>
      </c>
      <c r="C65" s="20">
        <v>250</v>
      </c>
      <c r="D65" s="1">
        <v>0</v>
      </c>
      <c r="E65" s="37">
        <v>394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37">
        <v>150</v>
      </c>
      <c r="L65" s="37">
        <v>200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5">
        <v>0.3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2">
        <v>0.7</v>
      </c>
      <c r="BA65" s="12">
        <v>5</v>
      </c>
      <c r="BB65" s="1">
        <v>0</v>
      </c>
      <c r="BC65" s="1">
        <v>0</v>
      </c>
      <c r="BD65" s="9">
        <v>0</v>
      </c>
      <c r="BE65" s="9">
        <f t="shared" si="0"/>
        <v>1000</v>
      </c>
    </row>
    <row r="66" spans="1:57" s="40" customFormat="1" ht="16.25" customHeight="1">
      <c r="A66" s="36" t="s">
        <v>76</v>
      </c>
      <c r="B66" s="1">
        <v>0</v>
      </c>
      <c r="C66" s="20">
        <v>200</v>
      </c>
      <c r="D66" s="1">
        <v>0</v>
      </c>
      <c r="E66" s="37">
        <v>440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37"/>
      <c r="L66" s="37">
        <v>100</v>
      </c>
      <c r="M66" s="1">
        <v>0</v>
      </c>
      <c r="N66" s="1">
        <v>0</v>
      </c>
      <c r="O66" s="15">
        <v>5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38">
        <v>200</v>
      </c>
      <c r="Z66" s="1">
        <v>0</v>
      </c>
      <c r="AA66" s="38">
        <v>50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2">
        <v>1</v>
      </c>
      <c r="BA66" s="12">
        <v>4</v>
      </c>
      <c r="BB66" s="1">
        <v>0</v>
      </c>
      <c r="BC66" s="1">
        <v>0</v>
      </c>
      <c r="BD66" s="9">
        <v>0</v>
      </c>
      <c r="BE66" s="9">
        <f t="shared" si="0"/>
        <v>1000</v>
      </c>
    </row>
    <row r="67" spans="1:57" s="45" customFormat="1" ht="16.25" customHeight="1">
      <c r="A67" s="43" t="s">
        <v>77</v>
      </c>
      <c r="B67" s="20">
        <v>300</v>
      </c>
      <c r="C67" s="1">
        <v>0</v>
      </c>
      <c r="D67" s="1">
        <v>0</v>
      </c>
      <c r="E67" s="37">
        <v>235.7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44">
        <v>250</v>
      </c>
      <c r="M67" s="1">
        <v>0</v>
      </c>
      <c r="N67" s="15">
        <v>0.1</v>
      </c>
      <c r="O67" s="1">
        <v>0</v>
      </c>
      <c r="P67" s="15">
        <v>0.4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39">
        <v>125</v>
      </c>
      <c r="AJ67" s="1">
        <v>0</v>
      </c>
      <c r="AK67" s="1">
        <v>0</v>
      </c>
      <c r="AL67" s="1">
        <v>0</v>
      </c>
      <c r="AM67" s="1">
        <v>0</v>
      </c>
      <c r="AN67" s="39">
        <v>30</v>
      </c>
      <c r="AO67" s="1">
        <v>0</v>
      </c>
      <c r="AP67" s="1">
        <v>0</v>
      </c>
      <c r="AQ67" s="39">
        <v>50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2">
        <v>0.8</v>
      </c>
      <c r="BA67" s="12">
        <v>7</v>
      </c>
      <c r="BB67" s="12">
        <v>1</v>
      </c>
      <c r="BC67" s="1">
        <v>0</v>
      </c>
      <c r="BD67" s="9">
        <v>0</v>
      </c>
      <c r="BE67" s="9">
        <f t="shared" ref="BE67:BE130" si="1">SUM(B67:BD67)</f>
        <v>1000</v>
      </c>
    </row>
    <row r="68" spans="1:57" s="40" customFormat="1" ht="16.25" customHeight="1">
      <c r="A68" s="36" t="s">
        <v>78</v>
      </c>
      <c r="B68" s="1">
        <v>0</v>
      </c>
      <c r="C68" s="20">
        <v>180</v>
      </c>
      <c r="D68" s="20">
        <v>50</v>
      </c>
      <c r="E68" s="37">
        <v>108.9</v>
      </c>
      <c r="F68" s="1">
        <v>0</v>
      </c>
      <c r="G68" s="1">
        <v>0</v>
      </c>
      <c r="H68" s="1">
        <v>0</v>
      </c>
      <c r="I68" s="37">
        <v>100</v>
      </c>
      <c r="J68" s="1">
        <v>0</v>
      </c>
      <c r="K68" s="1">
        <v>0</v>
      </c>
      <c r="L68" s="37">
        <v>200</v>
      </c>
      <c r="M68" s="1">
        <v>0</v>
      </c>
      <c r="N68" s="1">
        <v>0</v>
      </c>
      <c r="O68" s="1">
        <v>0</v>
      </c>
      <c r="P68" s="15">
        <v>0.2</v>
      </c>
      <c r="Q68" s="1">
        <v>0</v>
      </c>
      <c r="R68" s="1">
        <v>0</v>
      </c>
      <c r="S68" s="1">
        <v>0</v>
      </c>
      <c r="T68" s="15">
        <v>0.2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38">
        <v>175</v>
      </c>
      <c r="AB68" s="38">
        <v>175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39">
        <v>5</v>
      </c>
      <c r="AY68" s="1">
        <v>0</v>
      </c>
      <c r="AZ68" s="12">
        <v>0.7</v>
      </c>
      <c r="BA68" s="12">
        <v>5</v>
      </c>
      <c r="BB68" s="1">
        <v>0</v>
      </c>
      <c r="BC68" s="1">
        <v>0</v>
      </c>
      <c r="BD68" s="9">
        <v>0</v>
      </c>
      <c r="BE68" s="9">
        <f t="shared" si="1"/>
        <v>1000.0000000000001</v>
      </c>
    </row>
    <row r="69" spans="1:57" s="40" customFormat="1" ht="16.25" customHeight="1">
      <c r="A69" s="36" t="s">
        <v>79</v>
      </c>
      <c r="B69" s="1">
        <v>0</v>
      </c>
      <c r="C69" s="20">
        <v>180</v>
      </c>
      <c r="D69" s="20">
        <v>50</v>
      </c>
      <c r="E69" s="37">
        <v>216.6</v>
      </c>
      <c r="F69" s="1">
        <v>0</v>
      </c>
      <c r="G69" s="1">
        <v>0</v>
      </c>
      <c r="H69" s="1">
        <v>0</v>
      </c>
      <c r="I69" s="37">
        <v>200</v>
      </c>
      <c r="J69" s="1">
        <v>0</v>
      </c>
      <c r="K69" s="1">
        <v>0</v>
      </c>
      <c r="L69" s="37">
        <v>200</v>
      </c>
      <c r="M69" s="1">
        <v>0</v>
      </c>
      <c r="N69" s="1">
        <v>0</v>
      </c>
      <c r="O69" s="1">
        <v>0</v>
      </c>
      <c r="P69" s="15">
        <v>0.2</v>
      </c>
      <c r="Q69" s="1">
        <v>0</v>
      </c>
      <c r="R69" s="1">
        <v>0</v>
      </c>
      <c r="S69" s="1">
        <v>0</v>
      </c>
      <c r="T69" s="15">
        <v>0.2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38">
        <v>75</v>
      </c>
      <c r="AB69" s="38">
        <v>75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39">
        <v>3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9">
        <v>0</v>
      </c>
      <c r="BE69" s="9">
        <f t="shared" si="1"/>
        <v>1000.0000000000001</v>
      </c>
    </row>
    <row r="70" spans="1:57" s="40" customFormat="1" ht="16.25" customHeight="1">
      <c r="A70" s="36" t="s">
        <v>80</v>
      </c>
      <c r="B70" s="20">
        <v>150</v>
      </c>
      <c r="C70" s="20">
        <v>100</v>
      </c>
      <c r="D70" s="1">
        <v>0</v>
      </c>
      <c r="E70" s="37">
        <v>289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37">
        <v>200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5">
        <v>3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38">
        <v>250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2">
        <v>1</v>
      </c>
      <c r="BA70" s="12">
        <v>7</v>
      </c>
      <c r="BB70" s="1">
        <v>0</v>
      </c>
      <c r="BC70" s="1">
        <v>0</v>
      </c>
      <c r="BD70" s="9">
        <v>0</v>
      </c>
      <c r="BE70" s="9">
        <f t="shared" si="1"/>
        <v>1000</v>
      </c>
    </row>
    <row r="71" spans="1:57" s="40" customFormat="1" ht="16.25" customHeight="1">
      <c r="A71" s="36" t="s">
        <v>81</v>
      </c>
      <c r="B71" s="1">
        <v>0</v>
      </c>
      <c r="C71" s="20">
        <v>250</v>
      </c>
      <c r="D71" s="20">
        <v>70</v>
      </c>
      <c r="E71" s="37">
        <v>183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37">
        <v>180</v>
      </c>
      <c r="M71" s="1">
        <v>0</v>
      </c>
      <c r="N71" s="15">
        <v>4</v>
      </c>
      <c r="O71" s="1">
        <v>0</v>
      </c>
      <c r="P71" s="15">
        <v>5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38">
        <v>100</v>
      </c>
      <c r="Z71" s="1">
        <v>0</v>
      </c>
      <c r="AA71" s="1">
        <v>0</v>
      </c>
      <c r="AB71" s="38">
        <v>200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2">
        <v>1</v>
      </c>
      <c r="BA71" s="12">
        <v>7</v>
      </c>
      <c r="BB71" s="1">
        <v>0</v>
      </c>
      <c r="BC71" s="1">
        <v>0</v>
      </c>
      <c r="BD71" s="9">
        <v>0</v>
      </c>
      <c r="BE71" s="9">
        <f t="shared" si="1"/>
        <v>1000</v>
      </c>
    </row>
    <row r="72" spans="1:57" s="40" customFormat="1" ht="16.25" customHeight="1">
      <c r="A72" s="36" t="s">
        <v>82</v>
      </c>
      <c r="B72" s="20">
        <v>50</v>
      </c>
      <c r="C72" s="20">
        <v>180</v>
      </c>
      <c r="D72" s="1">
        <v>0</v>
      </c>
      <c r="E72" s="37">
        <v>414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37">
        <v>100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38">
        <v>50</v>
      </c>
      <c r="Z72" s="1">
        <v>0</v>
      </c>
      <c r="AA72" s="38">
        <v>200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2">
        <v>1</v>
      </c>
      <c r="BA72" s="12">
        <v>5</v>
      </c>
      <c r="BB72" s="1">
        <v>0</v>
      </c>
      <c r="BC72" s="1">
        <v>0</v>
      </c>
      <c r="BD72" s="9">
        <v>0</v>
      </c>
      <c r="BE72" s="9">
        <f t="shared" si="1"/>
        <v>1000</v>
      </c>
    </row>
    <row r="73" spans="1:57" s="40" customFormat="1" ht="16.25" customHeight="1">
      <c r="A73" s="36" t="s">
        <v>83</v>
      </c>
      <c r="B73" s="20">
        <v>60</v>
      </c>
      <c r="C73" s="20">
        <v>120</v>
      </c>
      <c r="D73" s="20">
        <v>100</v>
      </c>
      <c r="E73" s="37">
        <v>430.4</v>
      </c>
      <c r="F73" s="1">
        <v>0</v>
      </c>
      <c r="G73" s="1">
        <v>0</v>
      </c>
      <c r="H73" s="1">
        <v>0</v>
      </c>
      <c r="I73" s="37">
        <v>250</v>
      </c>
      <c r="J73" s="1">
        <v>0</v>
      </c>
      <c r="K73" s="1">
        <v>0</v>
      </c>
      <c r="L73" s="1">
        <v>0</v>
      </c>
      <c r="M73" s="1">
        <v>0</v>
      </c>
      <c r="N73" s="15">
        <v>0.4</v>
      </c>
      <c r="O73" s="1">
        <v>0</v>
      </c>
      <c r="P73" s="15">
        <v>1.5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5">
        <v>2</v>
      </c>
      <c r="W73" s="1">
        <v>0</v>
      </c>
      <c r="X73" s="1">
        <v>0</v>
      </c>
      <c r="Y73" s="1">
        <v>0</v>
      </c>
      <c r="Z73" s="1">
        <v>0</v>
      </c>
      <c r="AA73" s="38">
        <v>30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2">
        <v>0.7</v>
      </c>
      <c r="BA73" s="12">
        <v>5</v>
      </c>
      <c r="BB73" s="1">
        <v>0</v>
      </c>
      <c r="BC73" s="1">
        <v>0</v>
      </c>
      <c r="BD73" s="9">
        <v>0</v>
      </c>
      <c r="BE73" s="9">
        <f t="shared" si="1"/>
        <v>1000</v>
      </c>
    </row>
    <row r="74" spans="1:57" s="40" customFormat="1" ht="16.25" customHeight="1">
      <c r="A74" s="36" t="s">
        <v>84</v>
      </c>
      <c r="B74" s="1">
        <v>0</v>
      </c>
      <c r="C74" s="20">
        <v>250</v>
      </c>
      <c r="D74" s="1">
        <v>0</v>
      </c>
      <c r="E74" s="37">
        <v>281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37">
        <v>200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5">
        <v>8</v>
      </c>
      <c r="W74" s="1">
        <v>0</v>
      </c>
      <c r="X74" s="1">
        <v>0</v>
      </c>
      <c r="Y74" s="1">
        <v>0</v>
      </c>
      <c r="Z74" s="1">
        <v>0</v>
      </c>
      <c r="AA74" s="38">
        <v>100</v>
      </c>
      <c r="AB74" s="1">
        <v>0</v>
      </c>
      <c r="AC74" s="1">
        <v>0</v>
      </c>
      <c r="AD74" s="1">
        <v>0</v>
      </c>
      <c r="AE74" s="39">
        <v>150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39">
        <v>5</v>
      </c>
      <c r="AY74" s="1">
        <v>0</v>
      </c>
      <c r="AZ74" s="12">
        <v>1</v>
      </c>
      <c r="BA74" s="12">
        <v>5</v>
      </c>
      <c r="BB74" s="1">
        <v>0</v>
      </c>
      <c r="BC74" s="1">
        <v>0</v>
      </c>
      <c r="BD74" s="9">
        <v>0</v>
      </c>
      <c r="BE74" s="9">
        <f t="shared" si="1"/>
        <v>1000</v>
      </c>
    </row>
    <row r="75" spans="1:57" s="40" customFormat="1" ht="16.25" customHeight="1">
      <c r="A75" s="36" t="s">
        <v>85</v>
      </c>
      <c r="B75" s="1">
        <v>0</v>
      </c>
      <c r="C75" s="20">
        <v>250</v>
      </c>
      <c r="D75" s="1">
        <v>0</v>
      </c>
      <c r="E75" s="37">
        <v>238.5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37">
        <v>200</v>
      </c>
      <c r="M75" s="1">
        <v>0</v>
      </c>
      <c r="N75" s="1">
        <v>0</v>
      </c>
      <c r="O75" s="1">
        <v>0</v>
      </c>
      <c r="P75" s="15">
        <v>0.3</v>
      </c>
      <c r="Q75" s="1">
        <v>0</v>
      </c>
      <c r="R75" s="1">
        <v>0</v>
      </c>
      <c r="S75" s="1">
        <v>0</v>
      </c>
      <c r="T75" s="15">
        <v>0.2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38">
        <v>100</v>
      </c>
      <c r="AA75" s="38">
        <v>200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39">
        <v>5</v>
      </c>
      <c r="AY75" s="1">
        <v>0</v>
      </c>
      <c r="AZ75" s="12">
        <v>1</v>
      </c>
      <c r="BA75" s="12">
        <v>5</v>
      </c>
      <c r="BB75" s="1">
        <v>0</v>
      </c>
      <c r="BC75" s="1">
        <v>0</v>
      </c>
      <c r="BD75" s="9">
        <v>0</v>
      </c>
      <c r="BE75" s="9">
        <f t="shared" si="1"/>
        <v>1000</v>
      </c>
    </row>
    <row r="76" spans="1:57" s="40" customFormat="1" ht="16.25" customHeight="1">
      <c r="A76" s="36" t="s">
        <v>86</v>
      </c>
      <c r="B76" s="1">
        <v>0</v>
      </c>
      <c r="C76" s="20">
        <v>250</v>
      </c>
      <c r="D76" s="1">
        <v>0</v>
      </c>
      <c r="E76" s="37">
        <v>324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37">
        <v>200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5">
        <v>15</v>
      </c>
      <c r="W76" s="1">
        <v>0</v>
      </c>
      <c r="X76" s="1">
        <v>0</v>
      </c>
      <c r="Y76" s="1">
        <v>0</v>
      </c>
      <c r="Z76" s="1">
        <v>0</v>
      </c>
      <c r="AA76" s="38">
        <v>100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39">
        <v>100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39">
        <v>5</v>
      </c>
      <c r="AY76" s="1">
        <v>0</v>
      </c>
      <c r="AZ76" s="12">
        <v>1</v>
      </c>
      <c r="BA76" s="12">
        <v>5</v>
      </c>
      <c r="BB76" s="1">
        <v>0</v>
      </c>
      <c r="BC76" s="1">
        <v>0</v>
      </c>
      <c r="BD76" s="9">
        <v>0</v>
      </c>
      <c r="BE76" s="9">
        <f t="shared" si="1"/>
        <v>1000</v>
      </c>
    </row>
    <row r="77" spans="1:57" s="40" customFormat="1" ht="16.25" customHeight="1">
      <c r="A77" s="36" t="s">
        <v>87</v>
      </c>
      <c r="B77" s="1">
        <v>0</v>
      </c>
      <c r="C77" s="20">
        <v>200</v>
      </c>
      <c r="D77" s="20">
        <v>50</v>
      </c>
      <c r="E77" s="37">
        <v>492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37"/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5">
        <v>2</v>
      </c>
      <c r="W77" s="1">
        <v>0</v>
      </c>
      <c r="X77" s="1">
        <v>0</v>
      </c>
      <c r="Y77" s="38">
        <v>250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2">
        <v>1</v>
      </c>
      <c r="BA77" s="12">
        <v>5</v>
      </c>
      <c r="BB77" s="1">
        <v>0</v>
      </c>
      <c r="BC77" s="1">
        <v>0</v>
      </c>
      <c r="BD77" s="9">
        <v>0</v>
      </c>
      <c r="BE77" s="9">
        <f t="shared" si="1"/>
        <v>1000</v>
      </c>
    </row>
    <row r="78" spans="1:57" s="40" customFormat="1" ht="16.25" customHeight="1">
      <c r="A78" s="36" t="s">
        <v>89</v>
      </c>
      <c r="B78" s="1">
        <v>0</v>
      </c>
      <c r="C78" s="20">
        <v>180</v>
      </c>
      <c r="D78" s="20">
        <v>50</v>
      </c>
      <c r="E78" s="37">
        <v>342.3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37">
        <v>170</v>
      </c>
      <c r="M78" s="1">
        <v>0</v>
      </c>
      <c r="N78" s="1">
        <v>0</v>
      </c>
      <c r="O78" s="1">
        <v>0</v>
      </c>
      <c r="P78" s="15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5">
        <v>0.7</v>
      </c>
      <c r="W78" s="1">
        <v>0</v>
      </c>
      <c r="X78" s="1">
        <v>0</v>
      </c>
      <c r="Y78" s="38">
        <v>200</v>
      </c>
      <c r="Z78" s="1">
        <v>0</v>
      </c>
      <c r="AA78" s="38">
        <v>50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2">
        <v>1</v>
      </c>
      <c r="BA78" s="12">
        <v>5</v>
      </c>
      <c r="BB78" s="1">
        <v>0</v>
      </c>
      <c r="BC78" s="1">
        <v>0</v>
      </c>
      <c r="BD78" s="9">
        <v>0</v>
      </c>
      <c r="BE78" s="9">
        <f t="shared" si="1"/>
        <v>1000</v>
      </c>
    </row>
    <row r="79" spans="1:57" s="40" customFormat="1" ht="16.25" customHeight="1">
      <c r="A79" s="36" t="s">
        <v>88</v>
      </c>
      <c r="B79" s="1">
        <v>0</v>
      </c>
      <c r="C79" s="20">
        <v>220</v>
      </c>
      <c r="D79" s="1">
        <v>0</v>
      </c>
      <c r="E79" s="37">
        <v>499.3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38">
        <v>200</v>
      </c>
      <c r="Z79" s="1">
        <v>0</v>
      </c>
      <c r="AA79" s="38">
        <v>75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2">
        <v>0.7</v>
      </c>
      <c r="BA79" s="12">
        <v>5</v>
      </c>
      <c r="BB79" s="1">
        <v>0</v>
      </c>
      <c r="BC79" s="1">
        <v>0</v>
      </c>
      <c r="BD79" s="9">
        <v>0</v>
      </c>
      <c r="BE79" s="9">
        <f t="shared" si="1"/>
        <v>1000</v>
      </c>
    </row>
    <row r="80" spans="1:57" s="40" customFormat="1" ht="16.25" customHeight="1">
      <c r="A80" s="36" t="s">
        <v>90</v>
      </c>
      <c r="B80" s="1">
        <v>0</v>
      </c>
      <c r="C80" s="20">
        <v>180</v>
      </c>
      <c r="D80" s="20">
        <v>50</v>
      </c>
      <c r="E80" s="37">
        <v>361.4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5">
        <v>1.5</v>
      </c>
      <c r="Q80" s="1">
        <v>0</v>
      </c>
      <c r="R80" s="1">
        <v>0</v>
      </c>
      <c r="S80" s="1">
        <v>0</v>
      </c>
      <c r="T80" s="15">
        <v>0.3</v>
      </c>
      <c r="U80" s="1">
        <v>0</v>
      </c>
      <c r="V80" s="15">
        <v>0.8</v>
      </c>
      <c r="W80" s="1">
        <v>0</v>
      </c>
      <c r="X80" s="1">
        <v>0</v>
      </c>
      <c r="Y80" s="1">
        <v>0</v>
      </c>
      <c r="Z80" s="1">
        <v>0</v>
      </c>
      <c r="AA80" s="38">
        <v>200</v>
      </c>
      <c r="AB80" s="38">
        <v>200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2">
        <v>1</v>
      </c>
      <c r="BA80" s="12">
        <v>5</v>
      </c>
      <c r="BB80" s="1">
        <v>0</v>
      </c>
      <c r="BC80" s="1">
        <v>0</v>
      </c>
      <c r="BD80" s="9">
        <v>0</v>
      </c>
      <c r="BE80" s="9">
        <f t="shared" si="1"/>
        <v>999.99999999999989</v>
      </c>
    </row>
    <row r="81" spans="1:57" s="40" customFormat="1" ht="16.25" customHeight="1">
      <c r="A81" s="36" t="s">
        <v>91</v>
      </c>
      <c r="B81" s="1">
        <v>0</v>
      </c>
      <c r="C81" s="20">
        <v>180</v>
      </c>
      <c r="D81" s="20">
        <v>50</v>
      </c>
      <c r="E81" s="37">
        <v>560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5">
        <v>2.5</v>
      </c>
      <c r="O81" s="1">
        <v>0</v>
      </c>
      <c r="P81" s="15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5">
        <v>0.5</v>
      </c>
      <c r="W81" s="1">
        <v>0</v>
      </c>
      <c r="X81" s="1">
        <v>0</v>
      </c>
      <c r="Y81" s="1">
        <v>0</v>
      </c>
      <c r="Z81" s="1">
        <v>0</v>
      </c>
      <c r="AA81" s="38">
        <v>200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2">
        <v>1</v>
      </c>
      <c r="BA81" s="12">
        <v>5</v>
      </c>
      <c r="BB81" s="1">
        <v>0</v>
      </c>
      <c r="BC81" s="1">
        <v>0</v>
      </c>
      <c r="BD81" s="9">
        <v>0</v>
      </c>
      <c r="BE81" s="9">
        <f t="shared" si="1"/>
        <v>1000</v>
      </c>
    </row>
    <row r="82" spans="1:57" s="40" customFormat="1" ht="16.25" customHeight="1">
      <c r="A82" s="36" t="s">
        <v>92</v>
      </c>
      <c r="B82" s="20">
        <v>90</v>
      </c>
      <c r="C82" s="20">
        <v>90</v>
      </c>
      <c r="D82" s="20">
        <v>50</v>
      </c>
      <c r="E82" s="37">
        <v>357.4</v>
      </c>
      <c r="F82" s="1">
        <v>0</v>
      </c>
      <c r="G82" s="1">
        <v>0</v>
      </c>
      <c r="H82" s="1">
        <v>0</v>
      </c>
      <c r="I82" s="37">
        <v>105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5">
        <v>0.6</v>
      </c>
      <c r="S82" s="1">
        <v>0</v>
      </c>
      <c r="T82" s="1">
        <v>0</v>
      </c>
      <c r="U82" s="1">
        <v>0</v>
      </c>
      <c r="V82" s="15">
        <v>1.2</v>
      </c>
      <c r="W82" s="1">
        <v>0</v>
      </c>
      <c r="X82" s="1">
        <v>0</v>
      </c>
      <c r="Y82" s="1">
        <v>0</v>
      </c>
      <c r="Z82" s="1">
        <v>0</v>
      </c>
      <c r="AA82" s="38">
        <v>50</v>
      </c>
      <c r="AB82" s="1">
        <v>0</v>
      </c>
      <c r="AC82" s="1">
        <v>0</v>
      </c>
      <c r="AD82" s="39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2">
        <v>0.8</v>
      </c>
      <c r="BA82" s="12">
        <v>5</v>
      </c>
      <c r="BB82" s="1">
        <v>0</v>
      </c>
      <c r="BC82" s="1">
        <v>0</v>
      </c>
      <c r="BD82" s="9">
        <v>0</v>
      </c>
      <c r="BE82" s="9">
        <f t="shared" si="1"/>
        <v>850</v>
      </c>
    </row>
    <row r="83" spans="1:57" s="40" customFormat="1" ht="16.25" customHeight="1">
      <c r="A83" s="36" t="s">
        <v>93</v>
      </c>
      <c r="B83" s="1">
        <v>0</v>
      </c>
      <c r="C83" s="20">
        <v>200</v>
      </c>
      <c r="D83" s="1">
        <v>0</v>
      </c>
      <c r="E83" s="37">
        <v>491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5">
        <v>3</v>
      </c>
      <c r="W83" s="1">
        <v>0</v>
      </c>
      <c r="X83" s="1">
        <v>0</v>
      </c>
      <c r="Y83" s="38">
        <v>300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2">
        <v>1.6</v>
      </c>
      <c r="BA83" s="12">
        <v>4.4000000000000004</v>
      </c>
      <c r="BB83" s="1">
        <v>0</v>
      </c>
      <c r="BC83" s="1">
        <v>0</v>
      </c>
      <c r="BD83" s="9">
        <v>0</v>
      </c>
      <c r="BE83" s="9">
        <f t="shared" si="1"/>
        <v>1000</v>
      </c>
    </row>
    <row r="84" spans="1:57" s="40" customFormat="1" ht="16.25" customHeight="1">
      <c r="A84" s="36" t="s">
        <v>94</v>
      </c>
      <c r="B84" s="1">
        <v>0</v>
      </c>
      <c r="C84" s="20">
        <v>200</v>
      </c>
      <c r="D84" s="1">
        <v>0</v>
      </c>
      <c r="E84" s="37">
        <v>497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5">
        <v>3</v>
      </c>
      <c r="W84" s="1">
        <v>0</v>
      </c>
      <c r="X84" s="1">
        <v>0</v>
      </c>
      <c r="Y84" s="1">
        <v>0</v>
      </c>
      <c r="Z84" s="1">
        <v>0</v>
      </c>
      <c r="AA84" s="38">
        <v>200</v>
      </c>
      <c r="AB84" s="38">
        <v>100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9">
        <v>0</v>
      </c>
      <c r="BE84" s="9">
        <f t="shared" si="1"/>
        <v>1000</v>
      </c>
    </row>
    <row r="85" spans="1:57" s="40" customFormat="1" ht="16.25" customHeight="1">
      <c r="A85" s="36" t="s">
        <v>95</v>
      </c>
      <c r="B85" s="1">
        <v>0</v>
      </c>
      <c r="C85" s="20">
        <v>220</v>
      </c>
      <c r="D85" s="1">
        <v>0</v>
      </c>
      <c r="E85" s="37">
        <v>473.3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5">
        <v>0.5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38">
        <v>300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2">
        <v>1.2</v>
      </c>
      <c r="BA85" s="12">
        <v>5</v>
      </c>
      <c r="BB85" s="1">
        <v>0</v>
      </c>
      <c r="BC85" s="1">
        <v>0</v>
      </c>
      <c r="BD85" s="9">
        <v>0</v>
      </c>
      <c r="BE85" s="9">
        <f t="shared" si="1"/>
        <v>1000</v>
      </c>
    </row>
    <row r="86" spans="1:57" s="40" customFormat="1" ht="16.25" customHeight="1">
      <c r="A86" s="36" t="s">
        <v>96</v>
      </c>
      <c r="B86" s="20">
        <v>100</v>
      </c>
      <c r="C86" s="20">
        <v>100</v>
      </c>
      <c r="D86" s="1">
        <v>0</v>
      </c>
      <c r="E86" s="37">
        <v>498.5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5">
        <v>0.5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38">
        <v>200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39">
        <v>100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2">
        <v>1</v>
      </c>
      <c r="BA86" s="1">
        <v>0</v>
      </c>
      <c r="BB86" s="1">
        <v>0</v>
      </c>
      <c r="BC86" s="1">
        <v>0</v>
      </c>
      <c r="BD86" s="9">
        <v>0</v>
      </c>
      <c r="BE86" s="9">
        <f t="shared" si="1"/>
        <v>1000</v>
      </c>
    </row>
    <row r="87" spans="1:57" s="40" customFormat="1" ht="16.25" customHeight="1">
      <c r="A87" s="36" t="s">
        <v>97</v>
      </c>
      <c r="B87" s="1">
        <v>0</v>
      </c>
      <c r="C87" s="20">
        <v>250</v>
      </c>
      <c r="D87" s="1">
        <v>0</v>
      </c>
      <c r="E87" s="37">
        <v>232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37">
        <v>200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5">
        <v>10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38">
        <v>300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2">
        <v>1</v>
      </c>
      <c r="BA87" s="12">
        <v>7</v>
      </c>
      <c r="BB87" s="1">
        <v>0</v>
      </c>
      <c r="BC87" s="1">
        <v>0</v>
      </c>
      <c r="BD87" s="9">
        <v>0</v>
      </c>
      <c r="BE87" s="9">
        <f t="shared" si="1"/>
        <v>1000</v>
      </c>
    </row>
    <row r="88" spans="1:57" s="40" customFormat="1" ht="16.25" customHeight="1">
      <c r="A88" s="36" t="s">
        <v>98</v>
      </c>
      <c r="B88" s="1">
        <v>0</v>
      </c>
      <c r="C88" s="20">
        <v>250</v>
      </c>
      <c r="D88" s="1">
        <v>0</v>
      </c>
      <c r="E88" s="37">
        <v>234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37">
        <v>200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5">
        <v>8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38">
        <v>300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2">
        <v>1</v>
      </c>
      <c r="BA88" s="12">
        <v>7</v>
      </c>
      <c r="BB88" s="1">
        <v>0</v>
      </c>
      <c r="BC88" s="1">
        <v>0</v>
      </c>
      <c r="BD88" s="9">
        <v>0</v>
      </c>
      <c r="BE88" s="9">
        <f t="shared" si="1"/>
        <v>1000</v>
      </c>
    </row>
    <row r="89" spans="1:57" s="40" customFormat="1" ht="16.25" customHeight="1">
      <c r="A89" s="36" t="s">
        <v>71</v>
      </c>
      <c r="B89" s="20">
        <v>175</v>
      </c>
      <c r="C89" s="20">
        <v>75</v>
      </c>
      <c r="D89" s="1">
        <v>0</v>
      </c>
      <c r="E89" s="37">
        <v>315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37">
        <v>200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5">
        <v>2</v>
      </c>
      <c r="W89" s="1">
        <v>0</v>
      </c>
      <c r="X89" s="1">
        <v>0</v>
      </c>
      <c r="Y89" s="38">
        <v>100</v>
      </c>
      <c r="Z89" s="1">
        <v>0</v>
      </c>
      <c r="AA89" s="38">
        <v>125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2">
        <v>1</v>
      </c>
      <c r="BA89" s="12">
        <v>7</v>
      </c>
      <c r="BB89" s="1">
        <v>0</v>
      </c>
      <c r="BC89" s="1">
        <v>0</v>
      </c>
      <c r="BD89" s="9">
        <v>0</v>
      </c>
      <c r="BE89" s="9">
        <f t="shared" si="1"/>
        <v>1000</v>
      </c>
    </row>
    <row r="90" spans="1:57" s="40" customFormat="1" ht="16.25" customHeight="1">
      <c r="A90" s="36" t="s">
        <v>99</v>
      </c>
      <c r="B90" s="20">
        <v>250</v>
      </c>
      <c r="C90" s="1">
        <v>0</v>
      </c>
      <c r="D90" s="1">
        <v>0</v>
      </c>
      <c r="E90" s="37">
        <v>232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37">
        <v>200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5">
        <v>10</v>
      </c>
      <c r="W90" s="1">
        <v>0</v>
      </c>
      <c r="X90" s="1">
        <v>0</v>
      </c>
      <c r="Y90" s="1">
        <v>0</v>
      </c>
      <c r="Z90" s="1">
        <v>0</v>
      </c>
      <c r="AA90" s="38">
        <v>100</v>
      </c>
      <c r="AB90" s="38">
        <v>200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2">
        <v>1</v>
      </c>
      <c r="BA90" s="12">
        <v>7</v>
      </c>
      <c r="BB90" s="1">
        <v>0</v>
      </c>
      <c r="BC90" s="1">
        <v>0</v>
      </c>
      <c r="BD90" s="9">
        <v>0</v>
      </c>
      <c r="BE90" s="9">
        <f t="shared" si="1"/>
        <v>1000</v>
      </c>
    </row>
    <row r="91" spans="1:57" s="40" customFormat="1" ht="16.25" customHeight="1">
      <c r="A91" s="36" t="s">
        <v>100</v>
      </c>
      <c r="B91" s="20">
        <v>250</v>
      </c>
      <c r="C91" s="1">
        <v>0</v>
      </c>
      <c r="D91" s="1">
        <v>0</v>
      </c>
      <c r="E91" s="37">
        <v>232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37">
        <v>200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5">
        <v>10</v>
      </c>
      <c r="W91" s="1">
        <v>0</v>
      </c>
      <c r="X91" s="1">
        <v>0</v>
      </c>
      <c r="Y91" s="1">
        <v>0</v>
      </c>
      <c r="Z91" s="1">
        <v>0</v>
      </c>
      <c r="AA91" s="38">
        <v>75</v>
      </c>
      <c r="AB91" s="38">
        <v>225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2">
        <v>1</v>
      </c>
      <c r="BA91" s="12">
        <v>7</v>
      </c>
      <c r="BB91" s="1">
        <v>0</v>
      </c>
      <c r="BC91" s="1">
        <v>0</v>
      </c>
      <c r="BD91" s="9">
        <v>0</v>
      </c>
      <c r="BE91" s="9">
        <f t="shared" si="1"/>
        <v>1000</v>
      </c>
    </row>
    <row r="92" spans="1:57" s="40" customFormat="1" ht="16.25" customHeight="1">
      <c r="A92" s="36" t="s">
        <v>101</v>
      </c>
      <c r="B92" s="20">
        <v>75</v>
      </c>
      <c r="C92" s="20">
        <v>175</v>
      </c>
      <c r="D92" s="1">
        <v>0</v>
      </c>
      <c r="E92" s="37">
        <v>315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37">
        <v>200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5">
        <v>2</v>
      </c>
      <c r="W92" s="1">
        <v>0</v>
      </c>
      <c r="X92" s="1">
        <v>0</v>
      </c>
      <c r="Y92" s="38">
        <v>100</v>
      </c>
      <c r="Z92" s="1">
        <v>0</v>
      </c>
      <c r="AA92" s="38">
        <v>125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2">
        <v>1</v>
      </c>
      <c r="BA92" s="12">
        <v>7</v>
      </c>
      <c r="BB92" s="1">
        <v>0</v>
      </c>
      <c r="BC92" s="1">
        <v>0</v>
      </c>
      <c r="BD92" s="9">
        <v>0</v>
      </c>
      <c r="BE92" s="9">
        <f t="shared" si="1"/>
        <v>1000</v>
      </c>
    </row>
    <row r="93" spans="1:57" s="40" customFormat="1" ht="16.25" customHeight="1">
      <c r="A93" s="36" t="s">
        <v>103</v>
      </c>
      <c r="B93" s="20">
        <v>200</v>
      </c>
      <c r="C93" s="20">
        <v>50</v>
      </c>
      <c r="D93" s="1">
        <v>0</v>
      </c>
      <c r="E93" s="37">
        <v>125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37">
        <v>100</v>
      </c>
      <c r="M93" s="37">
        <v>219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38">
        <v>125</v>
      </c>
      <c r="Z93" s="1">
        <v>0</v>
      </c>
      <c r="AA93" s="38">
        <v>175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2">
        <v>1</v>
      </c>
      <c r="BA93" s="12">
        <v>5</v>
      </c>
      <c r="BB93" s="1">
        <v>0</v>
      </c>
      <c r="BC93" s="1">
        <v>0</v>
      </c>
      <c r="BD93" s="9">
        <v>0</v>
      </c>
      <c r="BE93" s="9">
        <f t="shared" si="1"/>
        <v>1000</v>
      </c>
    </row>
    <row r="94" spans="1:57" s="40" customFormat="1" ht="16.25" customHeight="1">
      <c r="A94" s="36" t="s">
        <v>104</v>
      </c>
      <c r="B94" s="20">
        <v>200</v>
      </c>
      <c r="C94" s="20">
        <v>50</v>
      </c>
      <c r="D94" s="1">
        <v>0</v>
      </c>
      <c r="E94" s="37">
        <v>486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37">
        <v>50</v>
      </c>
      <c r="M94" s="1">
        <v>0</v>
      </c>
      <c r="N94" s="15">
        <v>3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38">
        <v>200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39">
        <v>5</v>
      </c>
      <c r="AY94" s="1">
        <v>0</v>
      </c>
      <c r="AZ94" s="12">
        <v>1</v>
      </c>
      <c r="BA94" s="12">
        <v>5</v>
      </c>
      <c r="BB94" s="1">
        <v>0</v>
      </c>
      <c r="BC94" s="1">
        <v>0</v>
      </c>
      <c r="BD94" s="9">
        <v>0</v>
      </c>
      <c r="BE94" s="9">
        <f t="shared" si="1"/>
        <v>1000</v>
      </c>
    </row>
    <row r="95" spans="1:57" s="40" customFormat="1" ht="16.25" customHeight="1">
      <c r="A95" s="36" t="s">
        <v>105</v>
      </c>
      <c r="B95" s="20">
        <v>100</v>
      </c>
      <c r="C95" s="20">
        <v>100</v>
      </c>
      <c r="D95" s="1">
        <v>0</v>
      </c>
      <c r="E95" s="37">
        <v>388.5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37">
        <v>100</v>
      </c>
      <c r="M95" s="1">
        <v>0</v>
      </c>
      <c r="N95" s="1">
        <v>0</v>
      </c>
      <c r="O95" s="1">
        <v>0</v>
      </c>
      <c r="P95" s="15">
        <v>0.5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38">
        <v>200</v>
      </c>
      <c r="Z95" s="1">
        <v>0</v>
      </c>
      <c r="AA95" s="38">
        <v>100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39">
        <v>5</v>
      </c>
      <c r="AY95" s="1">
        <v>0</v>
      </c>
      <c r="AZ95" s="12">
        <v>1</v>
      </c>
      <c r="BA95" s="12">
        <v>5</v>
      </c>
      <c r="BB95" s="1">
        <v>0</v>
      </c>
      <c r="BC95" s="1">
        <v>0</v>
      </c>
      <c r="BD95" s="9">
        <v>0</v>
      </c>
      <c r="BE95" s="9">
        <f t="shared" si="1"/>
        <v>1000</v>
      </c>
    </row>
    <row r="96" spans="1:57" s="40" customFormat="1" ht="16.25" customHeight="1">
      <c r="A96" s="36" t="s">
        <v>106</v>
      </c>
      <c r="B96" s="20">
        <v>170</v>
      </c>
      <c r="C96" s="20">
        <v>30</v>
      </c>
      <c r="D96" s="1">
        <v>0</v>
      </c>
      <c r="E96" s="37">
        <v>744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38">
        <v>50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2">
        <v>1</v>
      </c>
      <c r="BA96" s="12">
        <v>5</v>
      </c>
      <c r="BB96" s="1">
        <v>0</v>
      </c>
      <c r="BC96" s="1">
        <v>0</v>
      </c>
      <c r="BD96" s="9">
        <v>0</v>
      </c>
      <c r="BE96" s="9">
        <f t="shared" si="1"/>
        <v>1000</v>
      </c>
    </row>
    <row r="97" spans="1:59" s="40" customFormat="1" ht="16.25" customHeight="1">
      <c r="A97" s="36" t="s">
        <v>107</v>
      </c>
      <c r="B97" s="20">
        <v>200</v>
      </c>
      <c r="C97" s="1">
        <v>0</v>
      </c>
      <c r="D97" s="1">
        <v>0</v>
      </c>
      <c r="E97" s="37">
        <v>536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37">
        <v>50</v>
      </c>
      <c r="M97" s="1">
        <v>0</v>
      </c>
      <c r="N97" s="15">
        <v>3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38">
        <v>200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39">
        <v>5</v>
      </c>
      <c r="AY97" s="1">
        <v>0</v>
      </c>
      <c r="AZ97" s="12">
        <v>1</v>
      </c>
      <c r="BA97" s="12">
        <v>5</v>
      </c>
      <c r="BB97" s="1">
        <v>0</v>
      </c>
      <c r="BC97" s="1">
        <v>0</v>
      </c>
      <c r="BD97" s="9">
        <v>0</v>
      </c>
      <c r="BE97" s="9">
        <f t="shared" si="1"/>
        <v>1000</v>
      </c>
    </row>
    <row r="98" spans="1:59" s="40" customFormat="1" ht="16.25" customHeight="1">
      <c r="A98" s="36" t="s">
        <v>108</v>
      </c>
      <c r="B98" s="20">
        <v>200</v>
      </c>
      <c r="C98" s="1">
        <v>0</v>
      </c>
      <c r="D98" s="1">
        <v>0</v>
      </c>
      <c r="E98" s="37">
        <v>490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37">
        <v>100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5">
        <v>3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38">
        <v>200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2">
        <v>1.2</v>
      </c>
      <c r="BA98" s="12">
        <v>5.8</v>
      </c>
      <c r="BB98" s="1">
        <v>0</v>
      </c>
      <c r="BC98" s="1">
        <v>0</v>
      </c>
      <c r="BD98" s="9">
        <v>0</v>
      </c>
      <c r="BE98" s="9">
        <f t="shared" si="1"/>
        <v>1000</v>
      </c>
    </row>
    <row r="99" spans="1:59" s="40" customFormat="1" ht="16.25" customHeight="1">
      <c r="A99" s="36" t="s">
        <v>109</v>
      </c>
      <c r="B99" s="1">
        <v>0</v>
      </c>
      <c r="C99" s="20">
        <v>200</v>
      </c>
      <c r="D99" s="1">
        <v>0</v>
      </c>
      <c r="E99" s="37">
        <v>394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37">
        <v>200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38">
        <v>200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2">
        <v>1</v>
      </c>
      <c r="BA99" s="12">
        <v>5</v>
      </c>
      <c r="BB99" s="1">
        <v>0</v>
      </c>
      <c r="BC99" s="1">
        <v>0</v>
      </c>
      <c r="BD99" s="9">
        <v>0</v>
      </c>
      <c r="BE99" s="9">
        <f t="shared" si="1"/>
        <v>1000</v>
      </c>
    </row>
    <row r="100" spans="1:59" s="40" customFormat="1" ht="16.25" customHeight="1">
      <c r="A100" s="36" t="s">
        <v>110</v>
      </c>
      <c r="B100" s="1">
        <v>0</v>
      </c>
      <c r="C100" s="20">
        <v>200</v>
      </c>
      <c r="D100" s="1">
        <v>0</v>
      </c>
      <c r="E100" s="37">
        <v>394</v>
      </c>
      <c r="F100" s="1">
        <v>0</v>
      </c>
      <c r="G100" s="1">
        <v>0</v>
      </c>
      <c r="H100" s="1">
        <v>0</v>
      </c>
      <c r="I100" s="37">
        <v>200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39">
        <v>200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2">
        <v>1</v>
      </c>
      <c r="BA100" s="12">
        <v>5</v>
      </c>
      <c r="BB100" s="1">
        <v>0</v>
      </c>
      <c r="BC100" s="1">
        <v>0</v>
      </c>
      <c r="BD100" s="9">
        <v>0</v>
      </c>
      <c r="BE100" s="9">
        <f t="shared" si="1"/>
        <v>1000</v>
      </c>
    </row>
    <row r="101" spans="1:59" s="40" customFormat="1" ht="16.25" customHeight="1">
      <c r="A101" s="36" t="s">
        <v>111</v>
      </c>
      <c r="B101" s="20">
        <v>100</v>
      </c>
      <c r="C101" s="20">
        <v>100</v>
      </c>
      <c r="D101" s="1">
        <v>0</v>
      </c>
      <c r="E101" s="37">
        <v>294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37">
        <v>200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38">
        <v>200</v>
      </c>
      <c r="Z101" s="1">
        <v>0</v>
      </c>
      <c r="AA101" s="38">
        <v>100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2">
        <v>1</v>
      </c>
      <c r="BA101" s="12">
        <v>5</v>
      </c>
      <c r="BB101" s="1">
        <v>0</v>
      </c>
      <c r="BC101" s="1">
        <v>0</v>
      </c>
      <c r="BD101" s="9">
        <v>0</v>
      </c>
      <c r="BE101" s="9">
        <f t="shared" si="1"/>
        <v>1000</v>
      </c>
    </row>
    <row r="102" spans="1:59" s="40" customFormat="1" ht="16.25" customHeight="1">
      <c r="A102" s="36" t="s">
        <v>112</v>
      </c>
      <c r="B102" s="20">
        <v>180</v>
      </c>
      <c r="C102" s="1">
        <v>0</v>
      </c>
      <c r="D102" s="20">
        <v>50</v>
      </c>
      <c r="E102" s="37">
        <v>361.4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5">
        <v>1.5</v>
      </c>
      <c r="Q102" s="1">
        <v>0</v>
      </c>
      <c r="R102" s="1">
        <v>0</v>
      </c>
      <c r="S102" s="1">
        <v>0</v>
      </c>
      <c r="T102" s="15">
        <v>0.32</v>
      </c>
      <c r="U102" s="1">
        <v>0</v>
      </c>
      <c r="V102" s="15">
        <v>0.8</v>
      </c>
      <c r="W102" s="1">
        <v>0</v>
      </c>
      <c r="X102" s="1">
        <v>0</v>
      </c>
      <c r="Y102" s="1">
        <v>0</v>
      </c>
      <c r="Z102" s="38">
        <v>400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2">
        <v>1</v>
      </c>
      <c r="BA102" s="12">
        <v>5</v>
      </c>
      <c r="BB102" s="1">
        <v>0</v>
      </c>
      <c r="BC102" s="1">
        <v>0</v>
      </c>
      <c r="BD102" s="9">
        <v>0</v>
      </c>
      <c r="BE102" s="9">
        <f t="shared" si="1"/>
        <v>1000.02</v>
      </c>
    </row>
    <row r="103" spans="1:59" s="40" customFormat="1" ht="16.25" customHeight="1">
      <c r="A103" s="36" t="s">
        <v>113</v>
      </c>
      <c r="B103" s="20">
        <v>200</v>
      </c>
      <c r="C103" s="1">
        <v>0</v>
      </c>
      <c r="D103" s="1">
        <v>0</v>
      </c>
      <c r="E103" s="37">
        <v>276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37">
        <v>200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38">
        <v>200</v>
      </c>
      <c r="AA103" s="1">
        <v>0</v>
      </c>
      <c r="AB103" s="38">
        <v>120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2">
        <v>1.2</v>
      </c>
      <c r="BA103" s="12">
        <v>2.8</v>
      </c>
      <c r="BB103" s="1">
        <v>0</v>
      </c>
      <c r="BC103" s="1">
        <v>0</v>
      </c>
      <c r="BD103" s="9">
        <v>0</v>
      </c>
      <c r="BE103" s="9">
        <f t="shared" si="1"/>
        <v>1000</v>
      </c>
    </row>
    <row r="104" spans="1:59" s="40" customFormat="1" ht="16.25" customHeight="1">
      <c r="A104" s="36" t="s">
        <v>114</v>
      </c>
      <c r="B104" s="20">
        <v>200</v>
      </c>
      <c r="C104" s="1">
        <v>0</v>
      </c>
      <c r="D104" s="1">
        <v>0</v>
      </c>
      <c r="E104" s="37">
        <v>276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37">
        <v>200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38">
        <v>200</v>
      </c>
      <c r="AB104" s="38">
        <v>120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2">
        <v>1.2</v>
      </c>
      <c r="BA104" s="12">
        <v>2.8</v>
      </c>
      <c r="BB104" s="1">
        <v>0</v>
      </c>
      <c r="BC104" s="1">
        <v>0</v>
      </c>
      <c r="BD104" s="9">
        <v>0</v>
      </c>
      <c r="BE104" s="9">
        <f t="shared" si="1"/>
        <v>1000</v>
      </c>
    </row>
    <row r="105" spans="1:59" s="40" customFormat="1" ht="16.25" customHeight="1">
      <c r="A105" s="36" t="s">
        <v>115</v>
      </c>
      <c r="B105" s="20">
        <v>160</v>
      </c>
      <c r="C105" s="20">
        <v>40</v>
      </c>
      <c r="D105" s="1">
        <v>0</v>
      </c>
      <c r="E105" s="37">
        <v>276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37">
        <v>200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38">
        <v>200</v>
      </c>
      <c r="AB105" s="38">
        <v>120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2">
        <v>1.2</v>
      </c>
      <c r="BA105" s="12">
        <v>2.8</v>
      </c>
      <c r="BB105" s="1">
        <v>0</v>
      </c>
      <c r="BC105" s="1">
        <v>0</v>
      </c>
      <c r="BD105" s="9">
        <v>0</v>
      </c>
      <c r="BE105" s="9">
        <f t="shared" si="1"/>
        <v>1000</v>
      </c>
    </row>
    <row r="106" spans="1:59" s="40" customFormat="1" ht="16.25" customHeight="1">
      <c r="A106" s="36" t="s">
        <v>116</v>
      </c>
      <c r="B106" s="20">
        <v>180</v>
      </c>
      <c r="C106" s="1">
        <v>0</v>
      </c>
      <c r="D106" s="20">
        <v>50</v>
      </c>
      <c r="E106" s="37">
        <v>291</v>
      </c>
      <c r="F106" s="1">
        <v>0</v>
      </c>
      <c r="G106" s="1">
        <v>0</v>
      </c>
      <c r="H106" s="1">
        <v>0</v>
      </c>
      <c r="I106" s="37">
        <v>270</v>
      </c>
      <c r="J106" s="1">
        <v>0</v>
      </c>
      <c r="K106" s="37">
        <v>200</v>
      </c>
      <c r="L106" s="1">
        <v>0</v>
      </c>
      <c r="M106" s="1">
        <v>0</v>
      </c>
      <c r="N106" s="15">
        <v>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2">
        <v>1</v>
      </c>
      <c r="BA106" s="12">
        <v>5</v>
      </c>
      <c r="BB106" s="1">
        <v>0</v>
      </c>
      <c r="BC106" s="1">
        <v>0</v>
      </c>
      <c r="BD106" s="9">
        <v>0</v>
      </c>
      <c r="BE106" s="9">
        <f t="shared" si="1"/>
        <v>1000</v>
      </c>
    </row>
    <row r="107" spans="1:59" s="40" customFormat="1" ht="16.25" customHeight="1">
      <c r="A107" s="36" t="s">
        <v>118</v>
      </c>
      <c r="B107" s="20">
        <v>250</v>
      </c>
      <c r="C107" s="1">
        <v>0</v>
      </c>
      <c r="D107" s="1">
        <v>0</v>
      </c>
      <c r="E107" s="37">
        <v>241</v>
      </c>
      <c r="F107" s="1">
        <v>0</v>
      </c>
      <c r="G107" s="1">
        <v>0</v>
      </c>
      <c r="H107" s="1">
        <v>0</v>
      </c>
      <c r="I107" s="37">
        <v>250</v>
      </c>
      <c r="J107" s="1">
        <v>0</v>
      </c>
      <c r="K107" s="1">
        <v>0</v>
      </c>
      <c r="L107" s="37">
        <v>250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2">
        <v>1</v>
      </c>
      <c r="BA107" s="1">
        <v>0</v>
      </c>
      <c r="BB107" s="1">
        <v>0</v>
      </c>
      <c r="BC107" s="1">
        <v>0</v>
      </c>
      <c r="BD107" s="39">
        <v>8</v>
      </c>
      <c r="BE107" s="9">
        <f t="shared" si="1"/>
        <v>1000</v>
      </c>
    </row>
    <row r="108" spans="1:59" ht="15.75" customHeight="1">
      <c r="A108" s="25" t="s">
        <v>6</v>
      </c>
      <c r="B108" s="24">
        <v>230</v>
      </c>
      <c r="C108" s="20">
        <v>15</v>
      </c>
      <c r="D108" s="1">
        <v>0</v>
      </c>
      <c r="E108" s="37">
        <v>642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37">
        <v>100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39">
        <v>5</v>
      </c>
      <c r="AY108" s="1">
        <v>0</v>
      </c>
      <c r="AZ108" s="12">
        <v>1</v>
      </c>
      <c r="BA108" s="12">
        <v>7</v>
      </c>
      <c r="BB108" s="1">
        <v>0</v>
      </c>
      <c r="BC108" s="1">
        <v>0</v>
      </c>
      <c r="BD108" s="9">
        <v>0</v>
      </c>
      <c r="BE108" s="9">
        <f t="shared" si="1"/>
        <v>1000</v>
      </c>
      <c r="BG108" s="42"/>
    </row>
    <row r="109" spans="1:59" ht="15.75" customHeight="1">
      <c r="A109" s="25" t="s">
        <v>13</v>
      </c>
      <c r="B109" s="24">
        <v>100</v>
      </c>
      <c r="C109" s="20">
        <v>150</v>
      </c>
      <c r="D109" s="1">
        <v>0</v>
      </c>
      <c r="E109" s="37">
        <v>534.5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37">
        <v>200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39">
        <v>5</v>
      </c>
      <c r="AY109" s="12">
        <v>0.5</v>
      </c>
      <c r="AZ109" s="12">
        <v>1</v>
      </c>
      <c r="BA109" s="12">
        <v>9</v>
      </c>
      <c r="BB109" s="1">
        <v>0</v>
      </c>
      <c r="BC109" s="1">
        <v>0</v>
      </c>
      <c r="BD109" s="9">
        <v>0</v>
      </c>
      <c r="BE109" s="9">
        <f t="shared" si="1"/>
        <v>1000</v>
      </c>
    </row>
    <row r="110" spans="1:59" ht="15.75" customHeight="1">
      <c r="A110" s="25" t="s">
        <v>50</v>
      </c>
      <c r="B110" s="24">
        <v>230</v>
      </c>
      <c r="C110" s="20">
        <v>15</v>
      </c>
      <c r="D110" s="1">
        <v>0</v>
      </c>
      <c r="E110" s="37">
        <v>302</v>
      </c>
      <c r="F110" s="1">
        <v>0</v>
      </c>
      <c r="G110" s="1">
        <v>0</v>
      </c>
      <c r="H110" s="37">
        <v>200</v>
      </c>
      <c r="I110" s="1">
        <v>0</v>
      </c>
      <c r="J110" s="1">
        <v>0</v>
      </c>
      <c r="K110" s="1">
        <v>0</v>
      </c>
      <c r="L110" s="37">
        <v>230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2">
        <v>3</v>
      </c>
      <c r="AZ110" s="1">
        <v>0</v>
      </c>
      <c r="BA110" s="12">
        <v>20</v>
      </c>
      <c r="BB110" s="1">
        <v>0</v>
      </c>
      <c r="BC110" s="1">
        <v>0</v>
      </c>
      <c r="BD110" s="9">
        <v>0</v>
      </c>
      <c r="BE110" s="9">
        <f t="shared" si="1"/>
        <v>1000</v>
      </c>
    </row>
    <row r="111" spans="1:59" ht="15.75" customHeight="1">
      <c r="A111" s="25" t="s">
        <v>16</v>
      </c>
      <c r="B111" s="24">
        <v>175</v>
      </c>
      <c r="C111" s="20">
        <v>75</v>
      </c>
      <c r="D111" s="1">
        <v>0</v>
      </c>
      <c r="E111" s="37">
        <v>535.5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37">
        <v>200</v>
      </c>
      <c r="M111" s="1">
        <v>0</v>
      </c>
      <c r="N111" s="1">
        <v>0</v>
      </c>
      <c r="O111" s="1">
        <v>0</v>
      </c>
      <c r="P111" s="15">
        <v>1</v>
      </c>
      <c r="Q111" s="1">
        <v>0</v>
      </c>
      <c r="R111" s="1">
        <v>0</v>
      </c>
      <c r="S111" s="1">
        <v>0</v>
      </c>
      <c r="T111" s="15">
        <v>0.5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39">
        <v>5</v>
      </c>
      <c r="AY111" s="1">
        <v>0</v>
      </c>
      <c r="AZ111" s="12">
        <v>1</v>
      </c>
      <c r="BA111" s="12">
        <v>7</v>
      </c>
      <c r="BB111" s="1">
        <v>0</v>
      </c>
      <c r="BC111" s="1">
        <v>0</v>
      </c>
      <c r="BD111" s="9">
        <v>0</v>
      </c>
      <c r="BE111" s="9">
        <f t="shared" si="1"/>
        <v>1000</v>
      </c>
    </row>
    <row r="112" spans="1:59" ht="15.75" customHeight="1">
      <c r="A112" s="25" t="s">
        <v>18</v>
      </c>
      <c r="B112" s="1">
        <v>0</v>
      </c>
      <c r="C112" s="1">
        <v>0</v>
      </c>
      <c r="D112" s="20">
        <v>250</v>
      </c>
      <c r="E112" s="1">
        <v>0</v>
      </c>
      <c r="F112" s="1">
        <v>0</v>
      </c>
      <c r="G112" s="37">
        <v>620</v>
      </c>
      <c r="H112" s="1">
        <v>0</v>
      </c>
      <c r="I112" s="1">
        <v>0</v>
      </c>
      <c r="J112" s="1">
        <v>0</v>
      </c>
      <c r="K112" s="1">
        <v>0</v>
      </c>
      <c r="L112" s="37">
        <v>100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5">
        <v>15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2">
        <v>0.5</v>
      </c>
      <c r="AZ112" s="12">
        <v>1</v>
      </c>
      <c r="BA112" s="12">
        <v>13.5</v>
      </c>
      <c r="BB112" s="1">
        <v>0</v>
      </c>
      <c r="BC112" s="1">
        <v>0</v>
      </c>
      <c r="BD112" s="9">
        <v>0</v>
      </c>
      <c r="BE112" s="9">
        <f t="shared" si="1"/>
        <v>1000</v>
      </c>
    </row>
    <row r="113" spans="1:57" ht="15.75" customHeight="1">
      <c r="A113" s="28" t="s">
        <v>22</v>
      </c>
      <c r="B113" s="29">
        <v>200</v>
      </c>
      <c r="C113" s="1">
        <v>0</v>
      </c>
      <c r="D113" s="26">
        <v>100</v>
      </c>
      <c r="E113" s="37">
        <v>395.3</v>
      </c>
      <c r="F113" s="1">
        <v>0</v>
      </c>
      <c r="G113" s="1">
        <v>0</v>
      </c>
      <c r="H113" s="1">
        <v>0</v>
      </c>
      <c r="I113" s="37">
        <v>240</v>
      </c>
      <c r="J113" s="1">
        <v>0</v>
      </c>
      <c r="K113" s="1">
        <v>0</v>
      </c>
      <c r="L113" s="37">
        <v>50</v>
      </c>
      <c r="M113" s="1">
        <v>0</v>
      </c>
      <c r="N113" s="15">
        <v>0.7</v>
      </c>
      <c r="O113" s="1">
        <v>0</v>
      </c>
      <c r="P113" s="15">
        <v>3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5">
        <v>1.2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32">
        <v>2</v>
      </c>
      <c r="AZ113" s="32">
        <v>0.8</v>
      </c>
      <c r="BA113" s="32">
        <v>7</v>
      </c>
      <c r="BB113" s="1">
        <v>0</v>
      </c>
      <c r="BC113" s="1">
        <v>0</v>
      </c>
      <c r="BD113" s="9">
        <v>0</v>
      </c>
      <c r="BE113" s="9">
        <f t="shared" si="1"/>
        <v>1000</v>
      </c>
    </row>
    <row r="114" spans="1:57" ht="15.75" customHeight="1">
      <c r="A114" s="25" t="s">
        <v>49</v>
      </c>
      <c r="B114" s="24">
        <v>100</v>
      </c>
      <c r="C114" s="20">
        <v>100</v>
      </c>
      <c r="D114" s="20">
        <v>50</v>
      </c>
      <c r="E114" s="37">
        <v>400</v>
      </c>
      <c r="F114" s="1">
        <v>0</v>
      </c>
      <c r="G114" s="1">
        <v>0</v>
      </c>
      <c r="H114" s="1">
        <v>0</v>
      </c>
      <c r="I114" s="37">
        <v>239.7</v>
      </c>
      <c r="J114" s="1">
        <v>0</v>
      </c>
      <c r="K114" s="1">
        <v>0</v>
      </c>
      <c r="L114" s="37">
        <v>100</v>
      </c>
      <c r="M114" s="1">
        <v>0</v>
      </c>
      <c r="N114" s="1">
        <v>0</v>
      </c>
      <c r="O114" s="1">
        <v>0</v>
      </c>
      <c r="P114" s="15">
        <v>0.5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2">
        <v>2</v>
      </c>
      <c r="AZ114" s="12">
        <v>0.8</v>
      </c>
      <c r="BA114" s="12">
        <v>7</v>
      </c>
      <c r="BB114" s="1">
        <v>0</v>
      </c>
      <c r="BC114" s="1">
        <v>0</v>
      </c>
      <c r="BD114" s="9">
        <v>0</v>
      </c>
      <c r="BE114" s="9">
        <f t="shared" si="1"/>
        <v>1000</v>
      </c>
    </row>
    <row r="115" spans="1:57" ht="15.75" customHeight="1">
      <c r="A115" s="25" t="s">
        <v>48</v>
      </c>
      <c r="B115" s="27">
        <v>200</v>
      </c>
      <c r="C115" s="1">
        <v>0</v>
      </c>
      <c r="D115" s="27">
        <v>100</v>
      </c>
      <c r="E115" s="37">
        <v>400</v>
      </c>
      <c r="F115" s="1">
        <v>0</v>
      </c>
      <c r="G115" s="1">
        <v>0</v>
      </c>
      <c r="H115" s="1">
        <v>0</v>
      </c>
      <c r="I115" s="37">
        <v>237.9</v>
      </c>
      <c r="J115" s="1">
        <v>0</v>
      </c>
      <c r="K115" s="1">
        <v>0</v>
      </c>
      <c r="L115" s="37">
        <v>50</v>
      </c>
      <c r="M115" s="1">
        <v>0</v>
      </c>
      <c r="N115" s="15">
        <v>0.3</v>
      </c>
      <c r="O115" s="1">
        <v>0</v>
      </c>
      <c r="P115" s="15">
        <v>1.5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5">
        <v>0.5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2">
        <v>2</v>
      </c>
      <c r="AZ115" s="12">
        <v>0.8</v>
      </c>
      <c r="BA115" s="12">
        <v>7</v>
      </c>
      <c r="BB115" s="1">
        <v>0</v>
      </c>
      <c r="BC115" s="1">
        <v>0</v>
      </c>
      <c r="BD115" s="9">
        <v>0</v>
      </c>
      <c r="BE115" s="9">
        <f t="shared" si="1"/>
        <v>999.99999999999989</v>
      </c>
    </row>
    <row r="116" spans="1:57" ht="15.75" customHeight="1">
      <c r="A116" s="25" t="s">
        <v>51</v>
      </c>
      <c r="B116" s="27">
        <v>200</v>
      </c>
      <c r="C116" s="1">
        <v>0</v>
      </c>
      <c r="D116" s="27">
        <v>100</v>
      </c>
      <c r="E116" s="37">
        <v>249.1</v>
      </c>
      <c r="F116" s="1">
        <v>0</v>
      </c>
      <c r="G116" s="1">
        <v>0</v>
      </c>
      <c r="H116" s="1">
        <v>0</v>
      </c>
      <c r="I116" s="37">
        <v>400</v>
      </c>
      <c r="J116" s="1">
        <v>0</v>
      </c>
      <c r="K116" s="1">
        <v>0</v>
      </c>
      <c r="L116" s="37">
        <v>40</v>
      </c>
      <c r="M116" s="1">
        <v>0</v>
      </c>
      <c r="N116" s="15">
        <v>0.1</v>
      </c>
      <c r="O116" s="1">
        <v>0</v>
      </c>
      <c r="P116" s="15">
        <v>0.9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5">
        <v>0.1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2">
        <v>2</v>
      </c>
      <c r="AZ116" s="12">
        <v>0.8</v>
      </c>
      <c r="BA116" s="12">
        <v>7</v>
      </c>
      <c r="BB116" s="1">
        <v>0</v>
      </c>
      <c r="BC116" s="1">
        <v>0</v>
      </c>
      <c r="BD116" s="9">
        <v>0</v>
      </c>
      <c r="BE116" s="9">
        <f t="shared" si="1"/>
        <v>1000</v>
      </c>
    </row>
    <row r="117" spans="1:57" ht="15.75" customHeight="1">
      <c r="A117" s="25" t="s">
        <v>52</v>
      </c>
      <c r="B117" s="27">
        <v>180</v>
      </c>
      <c r="C117" s="1">
        <v>0</v>
      </c>
      <c r="D117" s="27">
        <v>70</v>
      </c>
      <c r="E117" s="37">
        <v>486.4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37">
        <v>100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5">
        <v>6</v>
      </c>
      <c r="W117" s="1">
        <v>0</v>
      </c>
      <c r="X117" s="1">
        <v>0</v>
      </c>
      <c r="Y117" s="38">
        <v>150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2">
        <v>2</v>
      </c>
      <c r="AZ117" s="12">
        <v>0.5</v>
      </c>
      <c r="BA117" s="12">
        <v>5</v>
      </c>
      <c r="BB117" s="12">
        <v>0.1</v>
      </c>
      <c r="BC117" s="1">
        <v>0</v>
      </c>
      <c r="BD117" s="9">
        <v>0</v>
      </c>
      <c r="BE117" s="9">
        <f t="shared" si="1"/>
        <v>1000</v>
      </c>
    </row>
    <row r="118" spans="1:57" ht="15.75" customHeight="1">
      <c r="A118" s="4" t="s">
        <v>53</v>
      </c>
      <c r="B118" s="1">
        <v>0</v>
      </c>
      <c r="C118" s="27">
        <v>320</v>
      </c>
      <c r="D118" s="1">
        <v>0</v>
      </c>
      <c r="E118" s="37">
        <v>557.20000000000005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37">
        <v>100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2">
        <v>2</v>
      </c>
      <c r="AZ118" s="12">
        <v>0.8</v>
      </c>
      <c r="BA118" s="12">
        <v>20</v>
      </c>
      <c r="BB118" s="1">
        <v>0</v>
      </c>
      <c r="BC118" s="1">
        <v>0</v>
      </c>
      <c r="BD118" s="9">
        <v>0</v>
      </c>
      <c r="BE118" s="9">
        <f t="shared" si="1"/>
        <v>1000</v>
      </c>
    </row>
    <row r="119" spans="1:57" s="40" customFormat="1" ht="16.25" customHeight="1">
      <c r="A119" s="36" t="s">
        <v>102</v>
      </c>
      <c r="B119" s="27">
        <v>180</v>
      </c>
      <c r="C119" s="27">
        <v>70</v>
      </c>
      <c r="D119" s="1">
        <v>0</v>
      </c>
      <c r="E119" s="37">
        <v>537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37">
        <v>200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2">
        <v>1</v>
      </c>
      <c r="BA119" s="12">
        <v>12</v>
      </c>
      <c r="BB119" s="1">
        <v>0</v>
      </c>
      <c r="BC119" s="1">
        <v>0</v>
      </c>
      <c r="BD119" s="9">
        <v>0</v>
      </c>
      <c r="BE119" s="9">
        <f t="shared" si="1"/>
        <v>1000</v>
      </c>
    </row>
    <row r="120" spans="1:57" s="40" customFormat="1" ht="16.25" customHeight="1">
      <c r="A120" s="36" t="s">
        <v>117</v>
      </c>
      <c r="B120" s="27">
        <v>220</v>
      </c>
      <c r="C120" s="1">
        <v>0</v>
      </c>
      <c r="D120" s="27">
        <v>60</v>
      </c>
      <c r="E120" s="37">
        <v>710.4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5">
        <v>1.25</v>
      </c>
      <c r="O120" s="1">
        <v>0</v>
      </c>
      <c r="P120" s="15">
        <v>1.25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5">
        <v>0.6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2">
        <v>1.5</v>
      </c>
      <c r="BA120" s="12">
        <v>5</v>
      </c>
      <c r="BB120" s="1">
        <v>0</v>
      </c>
      <c r="BC120" s="1">
        <v>0</v>
      </c>
      <c r="BD120" s="9">
        <v>0</v>
      </c>
      <c r="BE120" s="9">
        <f t="shared" si="1"/>
        <v>1000</v>
      </c>
    </row>
    <row r="121" spans="1:57" s="40" customFormat="1" ht="16.25" customHeight="1">
      <c r="A121" s="36" t="s">
        <v>119</v>
      </c>
      <c r="B121" s="27">
        <v>250</v>
      </c>
      <c r="C121" s="1">
        <v>0</v>
      </c>
      <c r="D121" s="27">
        <v>50</v>
      </c>
      <c r="E121" s="37">
        <v>340</v>
      </c>
      <c r="F121" s="1">
        <v>0</v>
      </c>
      <c r="G121" s="1">
        <v>0</v>
      </c>
      <c r="H121" s="1">
        <v>0</v>
      </c>
      <c r="I121" s="37">
        <v>150</v>
      </c>
      <c r="J121" s="1">
        <v>0</v>
      </c>
      <c r="K121" s="1">
        <v>0</v>
      </c>
      <c r="L121" s="37">
        <v>200</v>
      </c>
      <c r="M121" s="1">
        <v>0</v>
      </c>
      <c r="N121" s="1">
        <v>0</v>
      </c>
      <c r="O121" s="1">
        <v>0</v>
      </c>
      <c r="P121" s="15">
        <v>0.7</v>
      </c>
      <c r="Q121" s="1">
        <v>0</v>
      </c>
      <c r="R121" s="1">
        <v>0</v>
      </c>
      <c r="S121" s="1">
        <v>0</v>
      </c>
      <c r="T121" s="15">
        <v>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2">
        <v>1</v>
      </c>
      <c r="BA121" s="12">
        <v>7.3</v>
      </c>
      <c r="BB121" s="1">
        <v>0</v>
      </c>
      <c r="BC121" s="1">
        <v>0</v>
      </c>
      <c r="BD121" s="9">
        <v>0</v>
      </c>
      <c r="BE121" s="9">
        <f t="shared" si="1"/>
        <v>1000</v>
      </c>
    </row>
    <row r="122" spans="1:57" s="40" customFormat="1" ht="16.25" customHeight="1">
      <c r="A122" s="36" t="s">
        <v>120</v>
      </c>
      <c r="B122" s="27">
        <v>170</v>
      </c>
      <c r="C122" s="1">
        <v>0</v>
      </c>
      <c r="D122" s="27">
        <v>30</v>
      </c>
      <c r="E122" s="37">
        <v>693.7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37">
        <v>100</v>
      </c>
      <c r="M122" s="1">
        <v>0</v>
      </c>
      <c r="N122" s="1">
        <v>0</v>
      </c>
      <c r="O122" s="1">
        <v>0</v>
      </c>
      <c r="P122" s="15">
        <v>0.5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2">
        <v>0.8</v>
      </c>
      <c r="BA122" s="12">
        <v>5</v>
      </c>
      <c r="BB122" s="1">
        <v>0</v>
      </c>
      <c r="BC122" s="1">
        <v>0</v>
      </c>
      <c r="BD122" s="9">
        <v>0</v>
      </c>
      <c r="BE122" s="9">
        <f t="shared" si="1"/>
        <v>1000</v>
      </c>
    </row>
    <row r="123" spans="1:57" s="40" customFormat="1" ht="16.25" customHeight="1">
      <c r="A123" s="36" t="s">
        <v>121</v>
      </c>
      <c r="B123" s="27">
        <v>500</v>
      </c>
      <c r="C123" s="27">
        <v>250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37">
        <v>220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2">
        <v>4</v>
      </c>
      <c r="BA123" s="12">
        <v>13.5</v>
      </c>
      <c r="BB123" s="12">
        <v>2.5</v>
      </c>
      <c r="BC123" s="1">
        <v>0</v>
      </c>
      <c r="BD123" s="39">
        <v>10</v>
      </c>
      <c r="BE123" s="9">
        <f t="shared" si="1"/>
        <v>1000</v>
      </c>
    </row>
    <row r="124" spans="1:57" s="40" customFormat="1" ht="16.25" customHeight="1">
      <c r="A124" s="36" t="s">
        <v>122</v>
      </c>
      <c r="B124" s="27">
        <v>180</v>
      </c>
      <c r="C124" s="1">
        <v>0</v>
      </c>
      <c r="D124" s="1">
        <v>0</v>
      </c>
      <c r="E124" s="37">
        <v>311.2</v>
      </c>
      <c r="F124" s="1">
        <v>0</v>
      </c>
      <c r="G124" s="1">
        <v>0</v>
      </c>
      <c r="H124" s="1">
        <v>0</v>
      </c>
      <c r="I124" s="37">
        <v>400</v>
      </c>
      <c r="J124" s="1">
        <v>0</v>
      </c>
      <c r="K124" s="1">
        <v>0</v>
      </c>
      <c r="L124" s="37">
        <v>100</v>
      </c>
      <c r="M124" s="1">
        <v>0</v>
      </c>
      <c r="N124" s="1">
        <v>0</v>
      </c>
      <c r="O124" s="1">
        <v>0</v>
      </c>
      <c r="P124" s="15">
        <v>1</v>
      </c>
      <c r="Q124" s="1">
        <v>0</v>
      </c>
      <c r="R124" s="1">
        <v>0</v>
      </c>
      <c r="S124" s="1">
        <v>0</v>
      </c>
      <c r="T124" s="15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2">
        <v>2</v>
      </c>
      <c r="AZ124" s="12">
        <v>0.8</v>
      </c>
      <c r="BA124" s="12">
        <v>4</v>
      </c>
      <c r="BB124" s="1">
        <v>0</v>
      </c>
      <c r="BC124" s="1">
        <v>0</v>
      </c>
      <c r="BD124" s="9">
        <v>0</v>
      </c>
      <c r="BE124" s="9">
        <f t="shared" si="1"/>
        <v>1000</v>
      </c>
    </row>
    <row r="125" spans="1:57" s="40" customFormat="1" ht="16.25" customHeight="1">
      <c r="A125" s="36" t="s">
        <v>123</v>
      </c>
      <c r="B125" s="27">
        <v>220</v>
      </c>
      <c r="C125" s="1">
        <v>0</v>
      </c>
      <c r="D125" s="1">
        <v>0</v>
      </c>
      <c r="E125" s="37">
        <v>623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37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2">
        <v>1</v>
      </c>
      <c r="AZ125" s="12">
        <v>1</v>
      </c>
      <c r="BA125" s="12">
        <v>5</v>
      </c>
      <c r="BB125" s="1">
        <v>0</v>
      </c>
      <c r="BC125" s="1">
        <v>0</v>
      </c>
      <c r="BD125" s="9">
        <v>0</v>
      </c>
      <c r="BE125" s="9">
        <f t="shared" si="1"/>
        <v>1000</v>
      </c>
    </row>
    <row r="126" spans="1:57" s="40" customFormat="1" ht="16.25" customHeight="1">
      <c r="A126" s="36" t="s">
        <v>124</v>
      </c>
      <c r="B126" s="27">
        <v>60</v>
      </c>
      <c r="C126" s="27">
        <v>120</v>
      </c>
      <c r="D126" s="1">
        <v>0</v>
      </c>
      <c r="E126" s="37">
        <v>803.75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5">
        <v>0.45</v>
      </c>
      <c r="O126" s="1">
        <v>0</v>
      </c>
      <c r="P126" s="15">
        <v>3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5">
        <v>3.3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2">
        <v>2</v>
      </c>
      <c r="AZ126" s="12">
        <v>0.5</v>
      </c>
      <c r="BA126" s="12">
        <v>7</v>
      </c>
      <c r="BB126" s="1">
        <v>0</v>
      </c>
      <c r="BC126" s="1">
        <v>0</v>
      </c>
      <c r="BD126" s="9">
        <v>0</v>
      </c>
      <c r="BE126" s="9">
        <f t="shared" si="1"/>
        <v>1000</v>
      </c>
    </row>
    <row r="127" spans="1:57" s="40" customFormat="1" ht="16.25" customHeight="1">
      <c r="A127" s="36" t="s">
        <v>125</v>
      </c>
      <c r="B127" s="27">
        <v>110</v>
      </c>
      <c r="C127" s="27">
        <v>110</v>
      </c>
      <c r="D127" s="27">
        <v>50</v>
      </c>
      <c r="E127" s="37">
        <v>480</v>
      </c>
      <c r="F127" s="1">
        <v>0</v>
      </c>
      <c r="G127" s="1">
        <v>0</v>
      </c>
      <c r="H127" s="1">
        <v>0</v>
      </c>
      <c r="I127" s="37">
        <v>239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5">
        <v>1.5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2">
        <v>2</v>
      </c>
      <c r="AZ127" s="12">
        <v>0.5</v>
      </c>
      <c r="BA127" s="12">
        <v>7</v>
      </c>
      <c r="BB127" s="1">
        <v>0</v>
      </c>
      <c r="BC127" s="1">
        <v>0</v>
      </c>
      <c r="BD127" s="9">
        <v>0</v>
      </c>
      <c r="BE127" s="9">
        <f t="shared" si="1"/>
        <v>1000</v>
      </c>
    </row>
    <row r="128" spans="1:57" s="40" customFormat="1" ht="16.25" customHeight="1">
      <c r="A128" s="36" t="s">
        <v>126</v>
      </c>
      <c r="B128" s="27">
        <v>80</v>
      </c>
      <c r="C128" s="27">
        <v>170</v>
      </c>
      <c r="D128" s="1">
        <v>0</v>
      </c>
      <c r="E128" s="37">
        <v>519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37">
        <v>220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39">
        <v>5</v>
      </c>
      <c r="AY128" s="1">
        <v>0</v>
      </c>
      <c r="AZ128" s="12">
        <v>1</v>
      </c>
      <c r="BA128" s="12">
        <v>5</v>
      </c>
      <c r="BB128" s="1">
        <v>0</v>
      </c>
      <c r="BC128" s="1">
        <v>0</v>
      </c>
      <c r="BD128" s="9">
        <v>0</v>
      </c>
      <c r="BE128" s="9">
        <f t="shared" si="1"/>
        <v>1000</v>
      </c>
    </row>
    <row r="129" spans="1:57" s="40" customFormat="1" ht="16.25" customHeight="1">
      <c r="A129" s="36" t="s">
        <v>127</v>
      </c>
      <c r="B129" s="27">
        <v>170</v>
      </c>
      <c r="C129" s="27">
        <v>30</v>
      </c>
      <c r="D129" s="1">
        <v>0</v>
      </c>
      <c r="E129" s="37">
        <v>244</v>
      </c>
      <c r="F129" s="1">
        <v>0</v>
      </c>
      <c r="G129" s="1">
        <v>0</v>
      </c>
      <c r="H129" s="1">
        <v>0</v>
      </c>
      <c r="I129" s="37">
        <v>300</v>
      </c>
      <c r="J129" s="1">
        <v>0</v>
      </c>
      <c r="K129" s="1">
        <v>0</v>
      </c>
      <c r="L129" s="37">
        <v>250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2">
        <v>1</v>
      </c>
      <c r="BA129" s="12">
        <v>5</v>
      </c>
      <c r="BB129" s="1">
        <v>0</v>
      </c>
      <c r="BC129" s="1">
        <v>0</v>
      </c>
      <c r="BD129" s="9">
        <v>0</v>
      </c>
      <c r="BE129" s="9">
        <f t="shared" si="1"/>
        <v>1000</v>
      </c>
    </row>
    <row r="130" spans="1:57" s="40" customFormat="1" ht="16.25" customHeight="1">
      <c r="A130" s="36" t="s">
        <v>128</v>
      </c>
      <c r="B130" s="27">
        <v>250</v>
      </c>
      <c r="C130" s="27">
        <v>100</v>
      </c>
      <c r="D130" s="1">
        <v>0</v>
      </c>
      <c r="E130" s="37">
        <v>458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37">
        <v>150</v>
      </c>
      <c r="M130" s="1">
        <v>0</v>
      </c>
      <c r="N130" s="1">
        <v>0</v>
      </c>
      <c r="O130" s="15">
        <v>20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5">
        <v>6</v>
      </c>
      <c r="V130" s="15">
        <v>8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2">
        <v>1</v>
      </c>
      <c r="BA130" s="12">
        <v>7</v>
      </c>
      <c r="BB130" s="1">
        <v>0</v>
      </c>
      <c r="BC130" s="1">
        <v>0</v>
      </c>
      <c r="BD130" s="9">
        <v>0</v>
      </c>
      <c r="BE130" s="9">
        <f t="shared" si="1"/>
        <v>1000</v>
      </c>
    </row>
    <row r="131" spans="1:57" s="40" customFormat="1" ht="16.25" customHeight="1">
      <c r="A131" s="36" t="s">
        <v>129</v>
      </c>
      <c r="B131" s="27">
        <v>160</v>
      </c>
      <c r="C131" s="27">
        <v>40</v>
      </c>
      <c r="D131" s="1">
        <v>0</v>
      </c>
      <c r="E131" s="37">
        <v>391.48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37">
        <v>250</v>
      </c>
      <c r="M131" s="37">
        <v>150</v>
      </c>
      <c r="N131" s="1">
        <v>0</v>
      </c>
      <c r="O131" s="1">
        <v>0</v>
      </c>
      <c r="P131" s="15">
        <v>0.5</v>
      </c>
      <c r="Q131" s="1">
        <v>0</v>
      </c>
      <c r="R131" s="1">
        <v>0</v>
      </c>
      <c r="S131" s="1">
        <v>0</v>
      </c>
      <c r="T131" s="15">
        <v>0.02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2">
        <v>1</v>
      </c>
      <c r="BA131" s="12">
        <v>7</v>
      </c>
      <c r="BB131" s="1">
        <v>0</v>
      </c>
      <c r="BC131" s="1">
        <v>0</v>
      </c>
      <c r="BD131" s="9">
        <v>0</v>
      </c>
      <c r="BE131" s="9">
        <f t="shared" ref="BE131:BE175" si="2">SUM(B131:BD131)</f>
        <v>1000</v>
      </c>
    </row>
    <row r="132" spans="1:57" s="40" customFormat="1" ht="16.25" customHeight="1">
      <c r="A132" s="36" t="s">
        <v>130</v>
      </c>
      <c r="B132" s="27">
        <v>180</v>
      </c>
      <c r="C132" s="1">
        <v>0</v>
      </c>
      <c r="D132" s="27">
        <v>50</v>
      </c>
      <c r="E132" s="37">
        <v>459.35</v>
      </c>
      <c r="F132" s="1">
        <v>0</v>
      </c>
      <c r="G132" s="1">
        <v>0</v>
      </c>
      <c r="H132" s="1">
        <v>0</v>
      </c>
      <c r="I132" s="37">
        <v>300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5">
        <v>0.75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5">
        <v>0.4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2">
        <v>2</v>
      </c>
      <c r="AZ132" s="12">
        <v>0.5</v>
      </c>
      <c r="BA132" s="12">
        <v>7</v>
      </c>
      <c r="BB132" s="1">
        <v>0</v>
      </c>
      <c r="BC132" s="1">
        <v>0</v>
      </c>
      <c r="BD132" s="9">
        <v>0</v>
      </c>
      <c r="BE132" s="9">
        <f t="shared" si="2"/>
        <v>1000</v>
      </c>
    </row>
    <row r="133" spans="1:57" s="40" customFormat="1" ht="16.25" customHeight="1">
      <c r="A133" s="36" t="s">
        <v>131</v>
      </c>
      <c r="B133" s="27">
        <v>120</v>
      </c>
      <c r="C133" s="27">
        <v>60</v>
      </c>
      <c r="D133" s="27">
        <v>50</v>
      </c>
      <c r="E133" s="37">
        <v>459</v>
      </c>
      <c r="F133" s="1">
        <v>0</v>
      </c>
      <c r="G133" s="1">
        <v>0</v>
      </c>
      <c r="H133" s="1">
        <v>0</v>
      </c>
      <c r="I133" s="37">
        <v>300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5">
        <v>1.5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2">
        <v>2</v>
      </c>
      <c r="AZ133" s="12">
        <v>0.5</v>
      </c>
      <c r="BA133" s="12">
        <v>7</v>
      </c>
      <c r="BB133" s="1">
        <v>0</v>
      </c>
      <c r="BC133" s="1">
        <v>0</v>
      </c>
      <c r="BD133" s="9">
        <v>0</v>
      </c>
      <c r="BE133" s="9">
        <f t="shared" si="2"/>
        <v>1000</v>
      </c>
    </row>
    <row r="134" spans="1:57" s="40" customFormat="1" ht="16.25" customHeight="1">
      <c r="A134" s="36" t="s">
        <v>132</v>
      </c>
      <c r="B134" s="27">
        <v>120</v>
      </c>
      <c r="C134" s="27">
        <v>60</v>
      </c>
      <c r="D134" s="27">
        <v>100</v>
      </c>
      <c r="E134" s="37">
        <v>710.4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5">
        <v>0.4</v>
      </c>
      <c r="O134" s="1">
        <v>0</v>
      </c>
      <c r="P134" s="15">
        <v>1.5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5">
        <v>2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2">
        <v>0.7</v>
      </c>
      <c r="BA134" s="12">
        <v>5</v>
      </c>
      <c r="BB134" s="1">
        <v>0</v>
      </c>
      <c r="BC134" s="1">
        <v>0</v>
      </c>
      <c r="BD134" s="9">
        <v>0</v>
      </c>
      <c r="BE134" s="9">
        <f t="shared" si="2"/>
        <v>1000</v>
      </c>
    </row>
    <row r="135" spans="1:57" s="40" customFormat="1" ht="16.25" customHeight="1">
      <c r="A135" s="36" t="s">
        <v>133</v>
      </c>
      <c r="B135" s="27">
        <v>200</v>
      </c>
      <c r="C135" s="1">
        <v>0</v>
      </c>
      <c r="D135" s="1">
        <v>0</v>
      </c>
      <c r="E135" s="37">
        <v>272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37">
        <v>200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5">
        <v>10</v>
      </c>
      <c r="U135" s="15">
        <v>10</v>
      </c>
      <c r="V135" s="1">
        <v>0</v>
      </c>
      <c r="W135" s="1">
        <v>0</v>
      </c>
      <c r="X135" s="1">
        <v>0</v>
      </c>
      <c r="Y135" s="38">
        <v>300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2">
        <v>1</v>
      </c>
      <c r="BA135" s="12">
        <v>7</v>
      </c>
      <c r="BB135" s="1">
        <v>0</v>
      </c>
      <c r="BC135" s="1">
        <v>0</v>
      </c>
      <c r="BD135" s="9">
        <v>0</v>
      </c>
      <c r="BE135" s="9">
        <f t="shared" si="2"/>
        <v>1000</v>
      </c>
    </row>
    <row r="136" spans="1:57" s="40" customFormat="1" ht="16.25" customHeight="1">
      <c r="A136" s="36" t="s">
        <v>134</v>
      </c>
      <c r="B136" s="27">
        <v>170</v>
      </c>
      <c r="C136" s="1">
        <v>0</v>
      </c>
      <c r="D136" s="27">
        <v>50</v>
      </c>
      <c r="E136" s="37">
        <v>773.6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5">
        <v>0.7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2">
        <v>0.7</v>
      </c>
      <c r="BA136" s="12">
        <v>5</v>
      </c>
      <c r="BB136" s="1">
        <v>0</v>
      </c>
      <c r="BC136" s="1">
        <v>0</v>
      </c>
      <c r="BD136" s="9">
        <v>0</v>
      </c>
      <c r="BE136" s="9">
        <f t="shared" si="2"/>
        <v>1000.0000000000001</v>
      </c>
    </row>
    <row r="137" spans="1:57" s="40" customFormat="1" ht="16.25" customHeight="1">
      <c r="A137" s="36" t="s">
        <v>117</v>
      </c>
      <c r="B137" s="27">
        <v>220</v>
      </c>
      <c r="C137" s="1">
        <v>0</v>
      </c>
      <c r="D137" s="27">
        <v>60</v>
      </c>
      <c r="E137" s="37">
        <v>710.4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5">
        <v>1.25</v>
      </c>
      <c r="O137" s="1">
        <v>0</v>
      </c>
      <c r="P137" s="15">
        <v>1.25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5">
        <v>0.6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2">
        <v>1.5</v>
      </c>
      <c r="BA137" s="12">
        <v>5</v>
      </c>
      <c r="BB137" s="1">
        <v>0</v>
      </c>
      <c r="BC137" s="1">
        <v>0</v>
      </c>
      <c r="BD137" s="9">
        <v>0</v>
      </c>
      <c r="BE137" s="9">
        <f t="shared" si="2"/>
        <v>1000</v>
      </c>
    </row>
    <row r="138" spans="1:57" s="40" customFormat="1" ht="16.25" customHeight="1">
      <c r="A138" s="36" t="s">
        <v>135</v>
      </c>
      <c r="B138" s="27">
        <v>200</v>
      </c>
      <c r="C138" s="1">
        <v>0</v>
      </c>
      <c r="D138" s="1">
        <v>0</v>
      </c>
      <c r="E138" s="37">
        <v>693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37">
        <v>100</v>
      </c>
      <c r="M138" s="1">
        <v>0</v>
      </c>
      <c r="N138" s="30">
        <v>0</v>
      </c>
      <c r="O138" s="1">
        <v>0</v>
      </c>
      <c r="P138" s="51">
        <v>0.6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2">
        <v>1.4</v>
      </c>
      <c r="BA138" s="12">
        <v>5</v>
      </c>
      <c r="BB138" s="1">
        <v>0</v>
      </c>
      <c r="BC138" s="1">
        <v>0</v>
      </c>
      <c r="BD138" s="9">
        <v>0</v>
      </c>
      <c r="BE138" s="9">
        <f t="shared" si="2"/>
        <v>1000</v>
      </c>
    </row>
    <row r="139" spans="1:57" s="40" customFormat="1" ht="16.25" customHeight="1">
      <c r="A139" s="48" t="s">
        <v>136</v>
      </c>
      <c r="B139" s="49">
        <v>200</v>
      </c>
      <c r="C139" s="49"/>
      <c r="D139" s="49"/>
      <c r="E139" s="50">
        <v>693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50">
        <v>100</v>
      </c>
      <c r="M139" s="57">
        <v>0</v>
      </c>
      <c r="N139" s="58">
        <v>0.1</v>
      </c>
      <c r="O139" s="59">
        <v>0</v>
      </c>
      <c r="P139" s="58">
        <v>0.5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32">
        <v>1.4</v>
      </c>
      <c r="BA139" s="32">
        <v>5</v>
      </c>
      <c r="BB139" s="1">
        <v>0</v>
      </c>
      <c r="BC139" s="1">
        <v>0</v>
      </c>
      <c r="BD139" s="9">
        <v>0</v>
      </c>
      <c r="BE139" s="9">
        <f t="shared" si="2"/>
        <v>1000</v>
      </c>
    </row>
    <row r="140" spans="1:57" s="40" customFormat="1" ht="16.25" customHeight="1">
      <c r="A140" s="52" t="s">
        <v>138</v>
      </c>
      <c r="B140" s="53">
        <v>90</v>
      </c>
      <c r="C140" s="53">
        <v>90</v>
      </c>
      <c r="D140" s="53">
        <v>40</v>
      </c>
      <c r="E140" s="54">
        <v>697.2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54">
        <v>50</v>
      </c>
      <c r="N140" s="55">
        <v>5</v>
      </c>
      <c r="O140" s="55">
        <v>9</v>
      </c>
      <c r="P140" s="55">
        <v>2</v>
      </c>
      <c r="Q140" s="1">
        <v>0</v>
      </c>
      <c r="R140" s="1">
        <v>0</v>
      </c>
      <c r="S140" s="1">
        <v>0</v>
      </c>
      <c r="T140" s="1">
        <v>0</v>
      </c>
      <c r="U140" s="55">
        <v>5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35">
        <v>2</v>
      </c>
      <c r="AZ140" s="35">
        <v>0.8</v>
      </c>
      <c r="BA140" s="35">
        <v>8</v>
      </c>
      <c r="BB140" s="35">
        <v>1</v>
      </c>
      <c r="BC140" s="1">
        <v>0</v>
      </c>
      <c r="BD140" s="9">
        <v>0</v>
      </c>
      <c r="BE140" s="9">
        <f t="shared" si="2"/>
        <v>1000</v>
      </c>
    </row>
    <row r="141" spans="1:57" s="40" customFormat="1" ht="16.25" customHeight="1">
      <c r="A141" s="36" t="s">
        <v>137</v>
      </c>
      <c r="B141" s="27">
        <v>90</v>
      </c>
      <c r="C141" s="27">
        <v>90</v>
      </c>
      <c r="D141" s="27">
        <v>40</v>
      </c>
      <c r="E141" s="37">
        <v>684.2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37">
        <v>50</v>
      </c>
      <c r="N141" s="15">
        <v>11</v>
      </c>
      <c r="O141" s="15">
        <v>9</v>
      </c>
      <c r="P141" s="15">
        <v>14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2">
        <v>2</v>
      </c>
      <c r="AZ141" s="12">
        <v>0.8</v>
      </c>
      <c r="BA141" s="12">
        <v>8</v>
      </c>
      <c r="BB141" s="12">
        <v>1</v>
      </c>
      <c r="BC141" s="1">
        <v>0</v>
      </c>
      <c r="BD141" s="9">
        <v>0</v>
      </c>
      <c r="BE141" s="9">
        <f t="shared" si="2"/>
        <v>1000</v>
      </c>
    </row>
    <row r="142" spans="1:57" s="40" customFormat="1" ht="16.25" customHeight="1">
      <c r="A142" s="36" t="s">
        <v>139</v>
      </c>
      <c r="B142" s="27">
        <v>90</v>
      </c>
      <c r="C142" s="27">
        <v>90</v>
      </c>
      <c r="D142" s="27">
        <v>40</v>
      </c>
      <c r="E142" s="37">
        <v>676.7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37">
        <v>50</v>
      </c>
      <c r="N142" s="15">
        <v>16</v>
      </c>
      <c r="O142" s="15">
        <v>7</v>
      </c>
      <c r="P142" s="15">
        <v>16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5">
        <v>2.5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2">
        <v>2</v>
      </c>
      <c r="AZ142" s="12">
        <v>0.8</v>
      </c>
      <c r="BA142" s="12">
        <v>8</v>
      </c>
      <c r="BB142" s="12">
        <v>1</v>
      </c>
      <c r="BC142" s="1">
        <v>0</v>
      </c>
      <c r="BD142" s="9">
        <v>0</v>
      </c>
      <c r="BE142" s="9">
        <f t="shared" si="2"/>
        <v>1000</v>
      </c>
    </row>
    <row r="143" spans="1:57" s="40" customFormat="1" ht="16.25" customHeight="1">
      <c r="A143" s="36" t="s">
        <v>140</v>
      </c>
      <c r="B143" s="27">
        <v>180</v>
      </c>
      <c r="C143" s="27"/>
      <c r="D143" s="27">
        <v>50</v>
      </c>
      <c r="E143" s="37">
        <v>699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37">
        <v>50</v>
      </c>
      <c r="N143" s="15">
        <v>6</v>
      </c>
      <c r="O143" s="1">
        <v>0</v>
      </c>
      <c r="P143" s="15">
        <v>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5">
        <v>0.2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2">
        <v>2</v>
      </c>
      <c r="AZ143" s="12">
        <v>0.8</v>
      </c>
      <c r="BA143" s="12">
        <v>8</v>
      </c>
      <c r="BB143" s="12">
        <v>1</v>
      </c>
      <c r="BC143" s="1">
        <v>0</v>
      </c>
      <c r="BD143" s="9">
        <v>0</v>
      </c>
      <c r="BE143" s="9">
        <f t="shared" si="2"/>
        <v>1000</v>
      </c>
    </row>
    <row r="144" spans="1:57" s="40" customFormat="1" ht="16.25" customHeight="1">
      <c r="A144" s="36" t="s">
        <v>141</v>
      </c>
      <c r="B144" s="27">
        <v>90</v>
      </c>
      <c r="C144" s="27">
        <v>90</v>
      </c>
      <c r="D144" s="27">
        <v>40</v>
      </c>
      <c r="E144" s="37">
        <v>706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37">
        <v>50</v>
      </c>
      <c r="N144" s="15">
        <v>8</v>
      </c>
      <c r="O144" s="1">
        <v>0</v>
      </c>
      <c r="P144" s="15">
        <v>10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2">
        <v>1</v>
      </c>
      <c r="BA144" s="12">
        <v>5</v>
      </c>
      <c r="BB144" s="1">
        <v>0</v>
      </c>
      <c r="BC144" s="1">
        <v>0</v>
      </c>
      <c r="BD144" s="9">
        <v>0</v>
      </c>
      <c r="BE144" s="9">
        <f t="shared" si="2"/>
        <v>1000</v>
      </c>
    </row>
    <row r="145" spans="1:57" s="40" customFormat="1" ht="16.25" customHeight="1">
      <c r="A145" s="36" t="s">
        <v>142</v>
      </c>
      <c r="B145" s="27">
        <v>90</v>
      </c>
      <c r="C145" s="27">
        <v>90</v>
      </c>
      <c r="D145" s="27">
        <v>40</v>
      </c>
      <c r="E145" s="37">
        <v>694.5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37">
        <v>50</v>
      </c>
      <c r="N145" s="15">
        <v>11</v>
      </c>
      <c r="O145" s="15">
        <v>5</v>
      </c>
      <c r="P145" s="15">
        <v>13.5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2">
        <v>1</v>
      </c>
      <c r="BA145" s="12">
        <v>5</v>
      </c>
      <c r="BB145" s="1">
        <v>0</v>
      </c>
      <c r="BC145" s="1">
        <v>0</v>
      </c>
      <c r="BD145" s="9">
        <v>0</v>
      </c>
      <c r="BE145" s="9">
        <f t="shared" si="2"/>
        <v>1000</v>
      </c>
    </row>
    <row r="146" spans="1:57" s="40" customFormat="1" ht="16.25" customHeight="1">
      <c r="A146" s="36" t="s">
        <v>143</v>
      </c>
      <c r="B146" s="27">
        <v>90</v>
      </c>
      <c r="C146" s="27">
        <v>90</v>
      </c>
      <c r="D146" s="27">
        <v>40</v>
      </c>
      <c r="E146" s="37">
        <v>697.5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37">
        <v>50</v>
      </c>
      <c r="N146" s="15">
        <v>10</v>
      </c>
      <c r="O146" s="15">
        <v>5</v>
      </c>
      <c r="P146" s="15">
        <v>10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5">
        <v>1.5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2">
        <v>1</v>
      </c>
      <c r="BA146" s="12">
        <v>5</v>
      </c>
      <c r="BB146" s="1">
        <v>0</v>
      </c>
      <c r="BC146" s="1">
        <v>0</v>
      </c>
      <c r="BD146" s="9">
        <v>0</v>
      </c>
      <c r="BE146" s="9">
        <f t="shared" si="2"/>
        <v>1000</v>
      </c>
    </row>
    <row r="147" spans="1:57" s="40" customFormat="1" ht="16.25" customHeight="1">
      <c r="A147" s="36" t="s">
        <v>144</v>
      </c>
      <c r="B147" s="27">
        <v>200</v>
      </c>
      <c r="C147" s="27"/>
      <c r="D147" s="1">
        <v>0</v>
      </c>
      <c r="E147" s="37">
        <v>641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37">
        <v>100</v>
      </c>
      <c r="M147" s="37">
        <v>50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2">
        <v>1</v>
      </c>
      <c r="AZ147" s="12">
        <v>1</v>
      </c>
      <c r="BA147" s="12">
        <v>7</v>
      </c>
      <c r="BB147" s="1">
        <v>0</v>
      </c>
      <c r="BC147" s="1">
        <v>0</v>
      </c>
      <c r="BD147" s="9">
        <v>0</v>
      </c>
      <c r="BE147" s="9">
        <f t="shared" si="2"/>
        <v>1000</v>
      </c>
    </row>
    <row r="148" spans="1:57" s="40" customFormat="1" ht="16.25" customHeight="1">
      <c r="A148" s="36" t="s">
        <v>145</v>
      </c>
      <c r="B148" s="27">
        <v>190</v>
      </c>
      <c r="C148" s="27">
        <v>10</v>
      </c>
      <c r="D148" s="1">
        <v>0</v>
      </c>
      <c r="E148" s="37">
        <v>591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37">
        <v>150</v>
      </c>
      <c r="M148" s="37">
        <v>50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2">
        <v>1</v>
      </c>
      <c r="AZ148" s="12">
        <v>1</v>
      </c>
      <c r="BA148" s="12">
        <v>7</v>
      </c>
      <c r="BB148" s="1">
        <v>0</v>
      </c>
      <c r="BC148" s="1">
        <v>0</v>
      </c>
      <c r="BD148" s="9">
        <v>0</v>
      </c>
      <c r="BE148" s="9">
        <f t="shared" si="2"/>
        <v>1000</v>
      </c>
    </row>
    <row r="149" spans="1:57" s="40" customFormat="1" ht="16.25" customHeight="1">
      <c r="A149" s="36" t="s">
        <v>146</v>
      </c>
      <c r="B149" s="27">
        <v>190</v>
      </c>
      <c r="C149" s="27">
        <v>10</v>
      </c>
      <c r="D149" s="1">
        <v>0</v>
      </c>
      <c r="E149" s="37">
        <v>641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37">
        <v>100</v>
      </c>
      <c r="M149" s="37">
        <v>50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2">
        <v>1</v>
      </c>
      <c r="AZ149" s="12">
        <v>1</v>
      </c>
      <c r="BA149" s="12">
        <v>7</v>
      </c>
      <c r="BB149" s="1">
        <v>0</v>
      </c>
      <c r="BC149" s="1">
        <v>0</v>
      </c>
      <c r="BD149" s="9">
        <v>0</v>
      </c>
      <c r="BE149" s="9">
        <f t="shared" si="2"/>
        <v>1000</v>
      </c>
    </row>
    <row r="150" spans="1:57" s="40" customFormat="1" ht="16.25" customHeight="1">
      <c r="A150" s="36" t="s">
        <v>147</v>
      </c>
      <c r="B150" s="27">
        <v>160</v>
      </c>
      <c r="C150" s="27">
        <v>40</v>
      </c>
      <c r="D150" s="1">
        <v>0</v>
      </c>
      <c r="E150" s="37">
        <v>341.3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37">
        <v>250</v>
      </c>
      <c r="M150" s="1">
        <v>0</v>
      </c>
      <c r="N150" s="1">
        <v>0</v>
      </c>
      <c r="O150" s="1">
        <v>0</v>
      </c>
      <c r="P150" s="15">
        <v>0.5</v>
      </c>
      <c r="Q150" s="1">
        <v>0</v>
      </c>
      <c r="R150" s="1">
        <v>0</v>
      </c>
      <c r="S150" s="1">
        <v>0</v>
      </c>
      <c r="T150" s="15">
        <v>0.2</v>
      </c>
      <c r="U150" s="1">
        <v>0</v>
      </c>
      <c r="V150" s="1">
        <v>0</v>
      </c>
      <c r="W150" s="1">
        <v>0</v>
      </c>
      <c r="X150" s="1">
        <v>0</v>
      </c>
      <c r="Y150" s="38">
        <v>200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2">
        <v>1</v>
      </c>
      <c r="BA150" s="12">
        <v>7</v>
      </c>
      <c r="BB150" s="1">
        <v>0</v>
      </c>
      <c r="BC150" s="1">
        <v>0</v>
      </c>
      <c r="BD150" s="9">
        <v>0</v>
      </c>
      <c r="BE150" s="9">
        <f t="shared" si="2"/>
        <v>1000</v>
      </c>
    </row>
    <row r="151" spans="1:57" s="40" customFormat="1" ht="16.25" customHeight="1">
      <c r="A151" s="36" t="s">
        <v>148</v>
      </c>
      <c r="B151" s="27">
        <v>90</v>
      </c>
      <c r="C151" s="27">
        <v>90</v>
      </c>
      <c r="D151" s="1">
        <v>0</v>
      </c>
      <c r="E151" s="37">
        <v>703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37">
        <v>90</v>
      </c>
      <c r="N151" s="15">
        <v>5</v>
      </c>
      <c r="O151" s="15">
        <v>9</v>
      </c>
      <c r="P151" s="15">
        <v>2</v>
      </c>
      <c r="Q151" s="1">
        <v>0</v>
      </c>
      <c r="R151" s="1">
        <v>0</v>
      </c>
      <c r="S151" s="1">
        <v>0</v>
      </c>
      <c r="T151" s="1">
        <v>0</v>
      </c>
      <c r="U151" s="15">
        <v>5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2">
        <v>1</v>
      </c>
      <c r="BA151" s="12">
        <v>5</v>
      </c>
      <c r="BB151" s="1">
        <v>0</v>
      </c>
      <c r="BC151" s="1">
        <v>0</v>
      </c>
      <c r="BD151" s="9">
        <v>0</v>
      </c>
      <c r="BE151" s="9">
        <f t="shared" si="2"/>
        <v>1000</v>
      </c>
    </row>
    <row r="152" spans="1:57" s="40" customFormat="1" ht="16.25" customHeight="1">
      <c r="A152" s="36" t="s">
        <v>149</v>
      </c>
      <c r="B152" s="27">
        <v>130</v>
      </c>
      <c r="C152" s="27">
        <v>90</v>
      </c>
      <c r="D152" s="1">
        <v>0</v>
      </c>
      <c r="E152" s="37">
        <v>695.5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37">
        <v>50</v>
      </c>
      <c r="N152" s="15">
        <v>11</v>
      </c>
      <c r="O152" s="15">
        <v>5</v>
      </c>
      <c r="P152" s="15">
        <v>13.5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2">
        <v>5</v>
      </c>
      <c r="BB152" s="1">
        <v>0</v>
      </c>
      <c r="BC152" s="1">
        <v>0</v>
      </c>
      <c r="BD152" s="9">
        <v>0</v>
      </c>
      <c r="BE152" s="9">
        <f t="shared" si="2"/>
        <v>1000</v>
      </c>
    </row>
    <row r="153" spans="1:57" s="40" customFormat="1" ht="16.25" customHeight="1">
      <c r="A153" s="36" t="s">
        <v>150</v>
      </c>
      <c r="B153" s="27">
        <v>200</v>
      </c>
      <c r="C153" s="1">
        <v>0</v>
      </c>
      <c r="D153" s="1">
        <v>0</v>
      </c>
      <c r="E153" s="37">
        <v>696.7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37">
        <v>100</v>
      </c>
      <c r="M153" s="1">
        <v>0</v>
      </c>
      <c r="N153" s="15">
        <v>1.4</v>
      </c>
      <c r="O153" s="1">
        <v>0</v>
      </c>
      <c r="P153" s="15">
        <v>1.9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9">
        <v>0</v>
      </c>
      <c r="BE153" s="9">
        <f t="shared" si="2"/>
        <v>1000</v>
      </c>
    </row>
    <row r="154" spans="1:57" s="40" customFormat="1" ht="16.25" customHeight="1">
      <c r="A154" s="36" t="s">
        <v>151</v>
      </c>
      <c r="B154" s="27">
        <v>200</v>
      </c>
      <c r="C154" s="1">
        <v>0</v>
      </c>
      <c r="D154" s="1">
        <v>0</v>
      </c>
      <c r="E154" s="37">
        <v>699.4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37">
        <v>100</v>
      </c>
      <c r="M154" s="1">
        <v>0</v>
      </c>
      <c r="N154" s="1">
        <v>0</v>
      </c>
      <c r="O154" s="1">
        <v>0</v>
      </c>
      <c r="P154" s="15">
        <v>0.6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9">
        <v>0</v>
      </c>
      <c r="BE154" s="9">
        <f t="shared" si="2"/>
        <v>1000</v>
      </c>
    </row>
    <row r="155" spans="1:57" s="40" customFormat="1" ht="16.25" customHeight="1">
      <c r="A155" s="36" t="s">
        <v>151</v>
      </c>
      <c r="B155" s="27">
        <v>200</v>
      </c>
      <c r="C155" s="1">
        <v>0</v>
      </c>
      <c r="D155" s="1">
        <v>0</v>
      </c>
      <c r="E155" s="37">
        <v>699.4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37">
        <v>100</v>
      </c>
      <c r="M155" s="1">
        <v>0</v>
      </c>
      <c r="N155" s="15">
        <v>0.1</v>
      </c>
      <c r="O155" s="1">
        <v>0</v>
      </c>
      <c r="P155" s="15">
        <v>0.5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9">
        <v>0</v>
      </c>
      <c r="BE155" s="9">
        <f t="shared" si="2"/>
        <v>1000</v>
      </c>
    </row>
    <row r="156" spans="1:57" s="40" customFormat="1" ht="16.25" customHeight="1">
      <c r="A156" s="36" t="s">
        <v>152</v>
      </c>
      <c r="B156" s="27">
        <v>349</v>
      </c>
      <c r="C156" s="1">
        <v>0</v>
      </c>
      <c r="D156" s="1">
        <v>0</v>
      </c>
      <c r="E156" s="37">
        <v>278.8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37">
        <v>159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38">
        <v>200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2">
        <v>0.5</v>
      </c>
      <c r="BA156" s="12">
        <v>12.7</v>
      </c>
      <c r="BB156" s="1">
        <v>0</v>
      </c>
      <c r="BC156" s="1">
        <v>0</v>
      </c>
      <c r="BD156" s="9">
        <v>0</v>
      </c>
      <c r="BE156" s="9">
        <f t="shared" si="2"/>
        <v>1000</v>
      </c>
    </row>
    <row r="157" spans="1:57" s="40" customFormat="1" ht="16.25" customHeight="1">
      <c r="A157" s="36" t="s">
        <v>153</v>
      </c>
      <c r="B157" s="27">
        <v>349</v>
      </c>
      <c r="C157" s="1">
        <v>0</v>
      </c>
      <c r="D157" s="1">
        <v>0</v>
      </c>
      <c r="E157" s="37">
        <v>478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37">
        <v>159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2">
        <v>0.8</v>
      </c>
      <c r="AZ157" s="12">
        <v>0.5</v>
      </c>
      <c r="BA157" s="12">
        <v>12.7</v>
      </c>
      <c r="BB157" s="1">
        <v>0</v>
      </c>
      <c r="BC157" s="1">
        <v>0</v>
      </c>
      <c r="BD157" s="9">
        <v>0</v>
      </c>
      <c r="BE157" s="9">
        <f t="shared" si="2"/>
        <v>1000</v>
      </c>
    </row>
    <row r="158" spans="1:57" s="40" customFormat="1" ht="16.25" customHeight="1">
      <c r="A158" s="36" t="s">
        <v>154</v>
      </c>
      <c r="B158" s="27">
        <v>358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37">
        <v>163</v>
      </c>
      <c r="N158" s="1">
        <v>0</v>
      </c>
      <c r="O158" s="1">
        <v>0</v>
      </c>
      <c r="P158" s="15">
        <v>6.5</v>
      </c>
      <c r="Q158" s="15">
        <v>3.8</v>
      </c>
      <c r="R158" s="1">
        <v>0</v>
      </c>
      <c r="S158" s="1">
        <v>0</v>
      </c>
      <c r="T158" s="1">
        <v>0</v>
      </c>
      <c r="U158" s="1">
        <v>0</v>
      </c>
      <c r="V158" s="15">
        <v>1.3</v>
      </c>
      <c r="W158" s="38">
        <v>453.9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2">
        <v>0.5</v>
      </c>
      <c r="BA158" s="12">
        <v>13</v>
      </c>
      <c r="BB158" s="1">
        <v>0</v>
      </c>
      <c r="BC158" s="1">
        <v>0</v>
      </c>
      <c r="BD158" s="9">
        <v>0</v>
      </c>
      <c r="BE158" s="9">
        <f t="shared" si="2"/>
        <v>999.99999999999989</v>
      </c>
    </row>
    <row r="159" spans="1:57" s="40" customFormat="1" ht="16.25" customHeight="1">
      <c r="A159" s="36" t="s">
        <v>155</v>
      </c>
      <c r="B159" s="27">
        <v>358</v>
      </c>
      <c r="C159" s="1">
        <v>0</v>
      </c>
      <c r="D159" s="1">
        <v>0</v>
      </c>
      <c r="E159" s="37">
        <v>453.1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37">
        <v>163</v>
      </c>
      <c r="N159" s="1">
        <v>0</v>
      </c>
      <c r="O159" s="1">
        <v>0</v>
      </c>
      <c r="P159" s="15">
        <v>6.5</v>
      </c>
      <c r="Q159" s="15">
        <v>3.8</v>
      </c>
      <c r="R159" s="1">
        <v>0</v>
      </c>
      <c r="S159" s="1">
        <v>0</v>
      </c>
      <c r="T159" s="1">
        <v>0</v>
      </c>
      <c r="U159" s="1">
        <v>0</v>
      </c>
      <c r="V159" s="15">
        <v>1.3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2">
        <v>0.8</v>
      </c>
      <c r="AZ159" s="12">
        <v>0.5</v>
      </c>
      <c r="BA159" s="12">
        <v>13</v>
      </c>
      <c r="BB159" s="1">
        <v>0</v>
      </c>
      <c r="BC159" s="1">
        <v>0</v>
      </c>
      <c r="BD159" s="9">
        <v>0</v>
      </c>
      <c r="BE159" s="9">
        <f t="shared" si="2"/>
        <v>999.99999999999989</v>
      </c>
    </row>
    <row r="160" spans="1:57" s="40" customFormat="1" ht="16.25" customHeight="1">
      <c r="A160" s="36" t="s">
        <v>156</v>
      </c>
      <c r="B160" s="27">
        <v>350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37">
        <v>159</v>
      </c>
      <c r="N160" s="15">
        <v>3.1</v>
      </c>
      <c r="O160" s="15">
        <v>20.6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5">
        <v>9.5</v>
      </c>
      <c r="W160" s="38">
        <v>444.3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2"/>
      <c r="AZ160" s="12">
        <v>0.5</v>
      </c>
      <c r="BA160" s="12">
        <v>13</v>
      </c>
      <c r="BB160" s="1">
        <v>0</v>
      </c>
      <c r="BC160" s="1">
        <v>0</v>
      </c>
      <c r="BD160" s="9">
        <v>0</v>
      </c>
      <c r="BE160" s="9">
        <f t="shared" si="2"/>
        <v>1000</v>
      </c>
    </row>
    <row r="161" spans="1:57" s="40" customFormat="1" ht="16.25" customHeight="1">
      <c r="A161" s="36" t="s">
        <v>157</v>
      </c>
      <c r="B161" s="27">
        <v>358</v>
      </c>
      <c r="C161" s="1">
        <v>0</v>
      </c>
      <c r="D161" s="1">
        <v>0</v>
      </c>
      <c r="E161" s="37">
        <v>436.3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37">
        <v>159</v>
      </c>
      <c r="N161" s="15">
        <v>3.1</v>
      </c>
      <c r="O161" s="15">
        <v>20.6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5">
        <v>9.5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2">
        <v>0.5</v>
      </c>
      <c r="BA161" s="12">
        <v>13</v>
      </c>
      <c r="BB161" s="1">
        <v>0</v>
      </c>
      <c r="BC161" s="1">
        <v>0</v>
      </c>
      <c r="BD161" s="9">
        <v>0</v>
      </c>
      <c r="BE161" s="9">
        <f t="shared" si="2"/>
        <v>1000</v>
      </c>
    </row>
    <row r="162" spans="1:57" s="40" customFormat="1" ht="16.25" customHeight="1">
      <c r="A162" s="36" t="s">
        <v>158</v>
      </c>
      <c r="B162" s="1">
        <v>0</v>
      </c>
      <c r="C162" s="27">
        <v>415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37">
        <v>189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5">
        <v>47.7</v>
      </c>
      <c r="W162" s="38">
        <v>332.8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2">
        <v>0.5</v>
      </c>
      <c r="BA162" s="12">
        <v>15</v>
      </c>
      <c r="BB162" s="1">
        <v>0</v>
      </c>
      <c r="BC162" s="1">
        <v>0</v>
      </c>
      <c r="BD162" s="9">
        <v>0</v>
      </c>
      <c r="BE162" s="9">
        <f t="shared" si="2"/>
        <v>1000</v>
      </c>
    </row>
    <row r="163" spans="1:57" s="40" customFormat="1" ht="16.25" customHeight="1">
      <c r="A163" s="36" t="s">
        <v>158</v>
      </c>
      <c r="B163" s="1">
        <v>0</v>
      </c>
      <c r="C163" s="27">
        <v>415</v>
      </c>
      <c r="D163" s="1">
        <v>0</v>
      </c>
      <c r="E163" s="37">
        <v>332.8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37">
        <v>189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5">
        <v>47.7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2">
        <v>0.5</v>
      </c>
      <c r="BA163" s="12">
        <v>15</v>
      </c>
      <c r="BB163" s="1">
        <v>0</v>
      </c>
      <c r="BC163" s="1">
        <v>0</v>
      </c>
      <c r="BD163" s="9">
        <v>0</v>
      </c>
      <c r="BE163" s="9">
        <f t="shared" si="2"/>
        <v>1000</v>
      </c>
    </row>
    <row r="164" spans="1:57" s="40" customFormat="1" ht="16.25" customHeight="1">
      <c r="A164" s="36" t="s">
        <v>159</v>
      </c>
      <c r="B164" s="1">
        <v>0</v>
      </c>
      <c r="C164" s="27">
        <v>300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37">
        <v>151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5">
        <v>40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39">
        <v>250</v>
      </c>
      <c r="AQ164" s="1">
        <v>0</v>
      </c>
      <c r="AR164" s="1">
        <v>0</v>
      </c>
      <c r="AS164" s="39">
        <v>250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2">
        <v>2</v>
      </c>
      <c r="AZ164" s="1">
        <v>0</v>
      </c>
      <c r="BA164" s="12">
        <v>7</v>
      </c>
      <c r="BB164" s="1">
        <v>0</v>
      </c>
      <c r="BC164" s="1">
        <v>0</v>
      </c>
      <c r="BD164" s="9">
        <v>0</v>
      </c>
      <c r="BE164" s="9">
        <f t="shared" si="2"/>
        <v>1000</v>
      </c>
    </row>
    <row r="165" spans="1:57" s="40" customFormat="1" ht="16.25" customHeight="1">
      <c r="A165" s="36" t="s">
        <v>160</v>
      </c>
      <c r="B165" s="1">
        <v>0</v>
      </c>
      <c r="C165" s="27">
        <v>300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37">
        <v>175</v>
      </c>
      <c r="N165" s="1">
        <v>0</v>
      </c>
      <c r="O165" s="1">
        <v>0</v>
      </c>
      <c r="P165" s="15">
        <v>2</v>
      </c>
      <c r="Q165" s="1">
        <v>0</v>
      </c>
      <c r="R165" s="1">
        <v>0</v>
      </c>
      <c r="S165" s="1">
        <v>0</v>
      </c>
      <c r="T165" s="15">
        <v>4</v>
      </c>
      <c r="U165" s="1">
        <v>0</v>
      </c>
      <c r="V165" s="15">
        <v>10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39">
        <v>250</v>
      </c>
      <c r="AQ165" s="1">
        <v>0</v>
      </c>
      <c r="AR165" s="1">
        <v>0</v>
      </c>
      <c r="AS165" s="39">
        <v>250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2">
        <v>2</v>
      </c>
      <c r="AZ165" s="1">
        <v>0</v>
      </c>
      <c r="BA165" s="12">
        <v>7</v>
      </c>
      <c r="BB165" s="1">
        <v>0</v>
      </c>
      <c r="BC165" s="1">
        <v>0</v>
      </c>
      <c r="BD165" s="9">
        <v>0</v>
      </c>
      <c r="BE165" s="9">
        <f t="shared" si="2"/>
        <v>1000</v>
      </c>
    </row>
    <row r="166" spans="1:57" s="40" customFormat="1" ht="16.25" customHeight="1">
      <c r="A166" s="36" t="s">
        <v>161</v>
      </c>
      <c r="B166" s="1">
        <v>0</v>
      </c>
      <c r="C166" s="27">
        <v>300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37">
        <v>151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5">
        <v>20</v>
      </c>
      <c r="U166" s="1">
        <v>0</v>
      </c>
      <c r="V166" s="15">
        <v>20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39">
        <v>250</v>
      </c>
      <c r="AQ166" s="1">
        <v>0</v>
      </c>
      <c r="AR166" s="1">
        <v>0</v>
      </c>
      <c r="AS166" s="39">
        <v>250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2">
        <v>2</v>
      </c>
      <c r="AZ166" s="1">
        <v>0</v>
      </c>
      <c r="BA166" s="12">
        <v>7</v>
      </c>
      <c r="BB166" s="1">
        <v>0</v>
      </c>
      <c r="BC166" s="1">
        <v>0</v>
      </c>
      <c r="BD166" s="9">
        <v>0</v>
      </c>
      <c r="BE166" s="9">
        <f t="shared" si="2"/>
        <v>1000</v>
      </c>
    </row>
    <row r="167" spans="1:57" s="40" customFormat="1" ht="16.25" customHeight="1">
      <c r="A167" s="36" t="s">
        <v>162</v>
      </c>
      <c r="B167" s="27">
        <v>300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37">
        <v>375</v>
      </c>
      <c r="N167" s="1">
        <v>0</v>
      </c>
      <c r="O167" s="1">
        <v>0</v>
      </c>
      <c r="P167" s="15">
        <v>16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39">
        <v>200</v>
      </c>
      <c r="AP167" s="39">
        <v>100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2">
        <v>2</v>
      </c>
      <c r="AZ167" s="1">
        <v>0</v>
      </c>
      <c r="BA167" s="12">
        <v>7</v>
      </c>
      <c r="BB167" s="1">
        <v>0</v>
      </c>
      <c r="BC167" s="1">
        <v>0</v>
      </c>
      <c r="BD167" s="9">
        <v>0</v>
      </c>
      <c r="BE167" s="9">
        <f t="shared" si="2"/>
        <v>1000</v>
      </c>
    </row>
    <row r="168" spans="1:57" s="40" customFormat="1" ht="16.25" customHeight="1">
      <c r="A168" s="36" t="s">
        <v>163</v>
      </c>
      <c r="B168" s="27">
        <v>300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37">
        <v>391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39">
        <v>150</v>
      </c>
      <c r="AU168" s="39">
        <v>150</v>
      </c>
      <c r="AV168" s="1">
        <v>0</v>
      </c>
      <c r="AW168" s="1">
        <v>0</v>
      </c>
      <c r="AX168" s="1">
        <v>0</v>
      </c>
      <c r="AY168" s="12">
        <v>2</v>
      </c>
      <c r="AZ168" s="1">
        <v>0</v>
      </c>
      <c r="BA168" s="12">
        <v>7</v>
      </c>
      <c r="BB168" s="1">
        <v>0</v>
      </c>
      <c r="BC168" s="1">
        <v>0</v>
      </c>
      <c r="BD168" s="9">
        <v>0</v>
      </c>
      <c r="BE168" s="9">
        <f t="shared" si="2"/>
        <v>1000</v>
      </c>
    </row>
    <row r="169" spans="1:57" s="40" customFormat="1" ht="16.25" customHeight="1">
      <c r="A169" s="36" t="s">
        <v>164</v>
      </c>
      <c r="B169" s="27">
        <v>300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37">
        <v>391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39">
        <v>150</v>
      </c>
      <c r="AU169" s="39">
        <v>150</v>
      </c>
      <c r="AV169" s="1">
        <v>0</v>
      </c>
      <c r="AW169" s="1">
        <v>0</v>
      </c>
      <c r="AX169" s="1">
        <v>0</v>
      </c>
      <c r="AY169" s="12">
        <v>2</v>
      </c>
      <c r="AZ169" s="1">
        <v>0</v>
      </c>
      <c r="BA169" s="12">
        <v>7</v>
      </c>
      <c r="BB169" s="1">
        <v>0</v>
      </c>
      <c r="BC169" s="1">
        <v>0</v>
      </c>
      <c r="BD169" s="9">
        <v>0</v>
      </c>
      <c r="BE169" s="9">
        <f t="shared" si="2"/>
        <v>1000</v>
      </c>
    </row>
    <row r="170" spans="1:57" s="40" customFormat="1" ht="16.25" customHeight="1">
      <c r="A170" s="36" t="s">
        <v>165</v>
      </c>
      <c r="B170" s="1">
        <v>0</v>
      </c>
      <c r="C170" s="27">
        <v>350</v>
      </c>
      <c r="D170" s="1">
        <v>0</v>
      </c>
      <c r="E170" s="37">
        <v>230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5">
        <v>20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39">
        <v>400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9">
        <v>0</v>
      </c>
      <c r="BE170" s="9">
        <f t="shared" si="2"/>
        <v>1000</v>
      </c>
    </row>
    <row r="171" spans="1:57" ht="15.75" customHeight="1">
      <c r="A171" s="25" t="s">
        <v>166</v>
      </c>
      <c r="B171" s="27">
        <v>320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37">
        <v>624.79999999999995</v>
      </c>
      <c r="N171" s="1">
        <v>0</v>
      </c>
      <c r="O171" s="1">
        <v>0</v>
      </c>
      <c r="P171" s="15">
        <v>0.5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5">
        <v>1.2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2">
        <v>3</v>
      </c>
      <c r="AZ171" s="12">
        <v>0.5</v>
      </c>
      <c r="BA171" s="12">
        <v>50</v>
      </c>
      <c r="BB171" s="1">
        <v>0</v>
      </c>
      <c r="BC171" s="1">
        <v>0</v>
      </c>
      <c r="BD171" s="9">
        <v>0</v>
      </c>
      <c r="BE171" s="9">
        <f t="shared" si="2"/>
        <v>1000</v>
      </c>
    </row>
    <row r="172" spans="1:57" ht="15.75" customHeight="1">
      <c r="A172" s="25" t="s">
        <v>167</v>
      </c>
      <c r="B172" s="1">
        <v>0</v>
      </c>
      <c r="C172" s="27">
        <v>320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37">
        <v>622.5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5">
        <v>4</v>
      </c>
      <c r="V172" s="15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2">
        <v>2</v>
      </c>
      <c r="AZ172" s="12">
        <v>0.5</v>
      </c>
      <c r="BA172" s="12">
        <v>50</v>
      </c>
      <c r="BB172" s="1">
        <v>0</v>
      </c>
      <c r="BC172" s="1">
        <v>0</v>
      </c>
      <c r="BD172" s="9">
        <v>0</v>
      </c>
      <c r="BE172" s="9">
        <f t="shared" si="2"/>
        <v>1000</v>
      </c>
    </row>
    <row r="173" spans="1:57" ht="15.75" customHeight="1">
      <c r="A173" s="25" t="s">
        <v>168</v>
      </c>
      <c r="B173" s="1">
        <v>0</v>
      </c>
      <c r="C173" s="27">
        <v>320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37">
        <v>623.5</v>
      </c>
      <c r="N173" s="1">
        <v>0</v>
      </c>
      <c r="O173" s="1">
        <v>0</v>
      </c>
      <c r="P173" s="15">
        <v>0.5</v>
      </c>
      <c r="Q173" s="1">
        <v>0</v>
      </c>
      <c r="R173" s="1">
        <v>0</v>
      </c>
      <c r="S173" s="1">
        <v>0</v>
      </c>
      <c r="T173" s="1">
        <v>0</v>
      </c>
      <c r="U173" s="15">
        <v>3.5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2">
        <v>2</v>
      </c>
      <c r="AZ173" s="12">
        <v>0.5</v>
      </c>
      <c r="BA173" s="12">
        <v>50</v>
      </c>
      <c r="BB173" s="1">
        <v>0</v>
      </c>
      <c r="BC173" s="1">
        <v>0</v>
      </c>
      <c r="BD173" s="9">
        <v>0</v>
      </c>
      <c r="BE173" s="9">
        <f t="shared" si="2"/>
        <v>1000</v>
      </c>
    </row>
    <row r="174" spans="1:57" s="40" customFormat="1" ht="16.25" customHeight="1">
      <c r="A174" s="36" t="s">
        <v>169</v>
      </c>
      <c r="B174" s="27">
        <v>400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37">
        <v>522</v>
      </c>
      <c r="N174" s="1">
        <v>0</v>
      </c>
      <c r="O174" s="1">
        <v>0</v>
      </c>
      <c r="P174" s="15">
        <v>5</v>
      </c>
      <c r="Q174" s="1">
        <v>0</v>
      </c>
      <c r="R174" s="1">
        <v>0</v>
      </c>
      <c r="S174" s="1">
        <v>0</v>
      </c>
      <c r="T174" s="15">
        <v>1</v>
      </c>
      <c r="U174" s="1">
        <v>0</v>
      </c>
      <c r="V174" s="15">
        <v>5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2">
        <v>10</v>
      </c>
      <c r="BA174" s="12">
        <v>57</v>
      </c>
      <c r="BB174" s="1">
        <v>0</v>
      </c>
      <c r="BC174" s="1">
        <v>0</v>
      </c>
      <c r="BD174" s="9">
        <v>0</v>
      </c>
      <c r="BE174" s="9">
        <f t="shared" si="2"/>
        <v>1000</v>
      </c>
    </row>
    <row r="175" spans="1:57" s="40" customFormat="1" ht="16.25" customHeight="1">
      <c r="A175" s="36" t="s">
        <v>170</v>
      </c>
      <c r="B175" s="27">
        <v>200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37">
        <v>100</v>
      </c>
      <c r="M175" s="37">
        <v>657.5</v>
      </c>
      <c r="N175" s="1">
        <v>0</v>
      </c>
      <c r="O175" s="1">
        <v>0</v>
      </c>
      <c r="P175" s="15">
        <v>0.5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2">
        <v>40</v>
      </c>
      <c r="BB175" s="12">
        <v>2</v>
      </c>
      <c r="BC175" s="1">
        <v>0</v>
      </c>
      <c r="BD175" s="9">
        <v>0</v>
      </c>
      <c r="BE175" s="9">
        <f t="shared" si="2"/>
        <v>1000</v>
      </c>
    </row>
    <row r="176" spans="1:5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Kool</dc:creator>
  <cp:lastModifiedBy>Sky Kool</cp:lastModifiedBy>
  <dcterms:created xsi:type="dcterms:W3CDTF">2025-12-04T08:34:55Z</dcterms:created>
  <dcterms:modified xsi:type="dcterms:W3CDTF">2025-12-26T09:11:04Z</dcterms:modified>
</cp:coreProperties>
</file>